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日本品牌牛" sheetId="1" state="visible" r:id="rId3"/>
    <sheet name="各縣統計" sheetId="2" state="visible" r:id="rId4"/>
    <sheet name="說明" sheetId="3" state="visible" r:id="rId5"/>
  </sheets>
  <definedNames>
    <definedName function="false" hidden="true" localSheetId="0" name="_xlnm._FilterDatabase" vbProcedure="false">全日本品牌牛!$A$1:$H$227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<sst xmlns="http://schemas.openxmlformats.org/spreadsheetml/2006/main" count="1143" uniqueCount="383">
  <si>
    <t xml:space="preserve">編號</t>
  </si>
  <si>
    <t xml:space="preserve">地區</t>
  </si>
  <si>
    <t xml:space="preserve">都道府縣</t>
  </si>
  <si>
    <t xml:space="preserve">品牌名（日文）</t>
  </si>
  <si>
    <t xml:space="preserve">品種</t>
  </si>
  <si>
    <t xml:space="preserve">已吃（填 ✓）</t>
  </si>
  <si>
    <t xml:space="preserve">我吃過的名稱</t>
  </si>
  <si>
    <t xml:space="preserve">備註</t>
  </si>
  <si>
    <t xml:space="preserve">北海道</t>
  </si>
  <si>
    <t xml:space="preserve">白老牛</t>
  </si>
  <si>
    <t xml:space="preserve">黑毛和種</t>
  </si>
  <si>
    <t xml:space="preserve">✓</t>
  </si>
  <si>
    <t xml:space="preserve">十勝和牛</t>
  </si>
  <si>
    <t xml:space="preserve">和牛</t>
  </si>
  <si>
    <t xml:space="preserve">十勝牛</t>
  </si>
  <si>
    <t xml:space="preserve">你記的「十勝牛」，對應最接近的十勝和牛</t>
  </si>
  <si>
    <t xml:space="preserve">十勝ナイタイ和牛</t>
  </si>
  <si>
    <t xml:space="preserve">十勝ワインビーフ</t>
  </si>
  <si>
    <t xml:space="preserve">池田町</t>
  </si>
  <si>
    <t xml:space="preserve">十勝若牛</t>
  </si>
  <si>
    <t xml:space="preserve">乳用種</t>
  </si>
  <si>
    <t xml:space="preserve">清水町，乳用種短期肥育</t>
  </si>
  <si>
    <t xml:space="preserve">雪美和牛・ゆたか</t>
  </si>
  <si>
    <t xml:space="preserve">雪美和牛</t>
  </si>
  <si>
    <r>
      <rPr>
        <sz val="11"/>
        <rFont val="Noto Sans CJK SC"/>
        <family val="2"/>
      </rPr>
      <t xml:space="preserve">帶廣市トヨニシファーム，</t>
    </r>
    <r>
      <rPr>
        <sz val="11"/>
        <rFont val="Arial"/>
        <family val="0"/>
        <charset val="1"/>
      </rPr>
      <t xml:space="preserve">2024 </t>
    </r>
    <r>
      <rPr>
        <sz val="11"/>
        <rFont val="Noto Sans CJK SC"/>
        <family val="2"/>
      </rPr>
      <t xml:space="preserve">年推出</t>
    </r>
  </si>
  <si>
    <t xml:space="preserve">豊西牛</t>
  </si>
  <si>
    <t xml:space="preserve">帶廣市トヨニシファーム</t>
  </si>
  <si>
    <t xml:space="preserve">びえい和牛</t>
  </si>
  <si>
    <t xml:space="preserve">美瑛牛</t>
  </si>
  <si>
    <r>
      <rPr>
        <sz val="11"/>
        <rFont val="Noto Sans CJK SC"/>
        <family val="2"/>
      </rPr>
      <t xml:space="preserve">美瑛町 </t>
    </r>
    <r>
      <rPr>
        <sz val="11"/>
        <rFont val="Arial"/>
        <family val="0"/>
        <charset val="1"/>
      </rPr>
      <t xml:space="preserve">Farms </t>
    </r>
    <r>
      <rPr>
        <sz val="11"/>
        <rFont val="Noto Sans CJK SC"/>
        <family val="2"/>
      </rPr>
      <t xml:space="preserve">千代田</t>
    </r>
  </si>
  <si>
    <t xml:space="preserve">ふらの和牛</t>
  </si>
  <si>
    <t xml:space="preserve">ふらの大地和牛</t>
  </si>
  <si>
    <t xml:space="preserve">かみふらの和牛</t>
  </si>
  <si>
    <t xml:space="preserve">富良野牛（你吃過的名稱）</t>
  </si>
  <si>
    <t xml:space="preserve">未標示</t>
  </si>
  <si>
    <t xml:space="preserve">富良野牛</t>
  </si>
  <si>
    <t xml:space="preserve">可能是ふらの和牛或ふらの大地和牛</t>
  </si>
  <si>
    <t xml:space="preserve">サロマ和牛</t>
  </si>
  <si>
    <t xml:space="preserve">佐呂間和牛</t>
  </si>
  <si>
    <t xml:space="preserve">佐呂間町</t>
  </si>
  <si>
    <t xml:space="preserve">はやきた和牛</t>
  </si>
  <si>
    <t xml:space="preserve">知床牛</t>
  </si>
  <si>
    <t xml:space="preserve">北勝牛</t>
  </si>
  <si>
    <t xml:space="preserve">みついし牛</t>
  </si>
  <si>
    <t xml:space="preserve">北海道和牛</t>
  </si>
  <si>
    <t xml:space="preserve">北見和牛</t>
  </si>
  <si>
    <t xml:space="preserve">びらとり和牛</t>
  </si>
  <si>
    <t xml:space="preserve">生田原高原和牛</t>
  </si>
  <si>
    <t xml:space="preserve">音更町すずらん和牛</t>
  </si>
  <si>
    <t xml:space="preserve">北海道オホーツクあばしり和牛</t>
  </si>
  <si>
    <t xml:space="preserve">ところ育ちオホーツク和牛</t>
  </si>
  <si>
    <t xml:space="preserve">とうや湖和牛</t>
  </si>
  <si>
    <t xml:space="preserve">流氷牛</t>
  </si>
  <si>
    <t xml:space="preserve">つべつ和牛</t>
  </si>
  <si>
    <t xml:space="preserve">宗谷黒牛</t>
  </si>
  <si>
    <t xml:space="preserve">宗谷岬和牛</t>
  </si>
  <si>
    <t xml:space="preserve">別海和牛</t>
  </si>
  <si>
    <t xml:space="preserve">北海道もろみ和牛</t>
  </si>
  <si>
    <t xml:space="preserve">白樺和牛</t>
  </si>
  <si>
    <t xml:space="preserve">はこだて和牛</t>
  </si>
  <si>
    <t xml:space="preserve">褐毛和種</t>
  </si>
  <si>
    <t xml:space="preserve">大雪高原牛</t>
  </si>
  <si>
    <t xml:space="preserve">其他／混合</t>
  </si>
  <si>
    <t xml:space="preserve">別海牛</t>
  </si>
  <si>
    <t xml:space="preserve">しほろ牛</t>
  </si>
  <si>
    <t xml:space="preserve">士幌町</t>
  </si>
  <si>
    <t xml:space="preserve">東北</t>
  </si>
  <si>
    <t xml:space="preserve">青森</t>
  </si>
  <si>
    <t xml:space="preserve">あおもり倉石牛</t>
  </si>
  <si>
    <t xml:space="preserve">あおもり十和田湖和牛</t>
  </si>
  <si>
    <t xml:space="preserve">三戸・田子牛</t>
  </si>
  <si>
    <t xml:space="preserve">東通牛</t>
  </si>
  <si>
    <t xml:space="preserve">並木和牛</t>
  </si>
  <si>
    <t xml:space="preserve">八甲田山地區（依你提供）</t>
  </si>
  <si>
    <t xml:space="preserve">岩手</t>
  </si>
  <si>
    <t xml:space="preserve">前沢牛</t>
  </si>
  <si>
    <t xml:space="preserve">いわて牛</t>
  </si>
  <si>
    <t xml:space="preserve">いわて奥州牛</t>
  </si>
  <si>
    <t xml:space="preserve">いわて門崎丑</t>
  </si>
  <si>
    <t xml:space="preserve">門崎丑牛</t>
  </si>
  <si>
    <t xml:space="preserve">一關市門崎</t>
  </si>
  <si>
    <t xml:space="preserve">いわて短角牛</t>
  </si>
  <si>
    <t xml:space="preserve">日本短角種</t>
  </si>
  <si>
    <t xml:space="preserve">江刺牛</t>
  </si>
  <si>
    <t xml:space="preserve">岩手しわ牛</t>
  </si>
  <si>
    <t xml:space="preserve">岩手とうわ牛</t>
  </si>
  <si>
    <t xml:space="preserve">いわてきたかみ牛</t>
  </si>
  <si>
    <t xml:space="preserve">いわて南牛</t>
  </si>
  <si>
    <t xml:space="preserve">宮城</t>
  </si>
  <si>
    <t xml:space="preserve">仙台牛</t>
  </si>
  <si>
    <r>
      <rPr>
        <sz val="11"/>
        <rFont val="Noto Sans CJK SC"/>
        <family val="2"/>
      </rPr>
      <t xml:space="preserve">肉質須 </t>
    </r>
    <r>
      <rPr>
        <sz val="11"/>
        <rFont val="Arial"/>
        <family val="0"/>
        <charset val="1"/>
      </rPr>
      <t xml:space="preserve">A5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B5</t>
    </r>
  </si>
  <si>
    <t xml:space="preserve">蔵王牛</t>
  </si>
  <si>
    <t xml:space="preserve">交雜種</t>
  </si>
  <si>
    <t xml:space="preserve">若柳牛</t>
  </si>
  <si>
    <t xml:space="preserve">石越牛</t>
  </si>
  <si>
    <t xml:space="preserve">はさま牛</t>
  </si>
  <si>
    <t xml:space="preserve">三陸金華和牛</t>
  </si>
  <si>
    <t xml:space="preserve">秋田</t>
  </si>
  <si>
    <t xml:space="preserve">秋田牛</t>
  </si>
  <si>
    <t xml:space="preserve">秋田由利牛</t>
  </si>
  <si>
    <t xml:space="preserve">三梨牛</t>
  </si>
  <si>
    <t xml:space="preserve">秋田錦牛</t>
  </si>
  <si>
    <t xml:space="preserve">羽後牛</t>
  </si>
  <si>
    <t xml:space="preserve">山形</t>
  </si>
  <si>
    <t xml:space="preserve">米沢牛</t>
  </si>
  <si>
    <t xml:space="preserve">米澤牛</t>
  </si>
  <si>
    <t xml:space="preserve">山形牛</t>
  </si>
  <si>
    <t xml:space="preserve">尾花沢牛</t>
  </si>
  <si>
    <t xml:space="preserve">最高級品為「雪降り和牛」</t>
  </si>
  <si>
    <t xml:space="preserve">鷹山牛</t>
  </si>
  <si>
    <t xml:space="preserve">米澤市（依你提供）</t>
  </si>
  <si>
    <t xml:space="preserve">福島</t>
  </si>
  <si>
    <t xml:space="preserve">福島牛</t>
  </si>
  <si>
    <t xml:space="preserve">うねめ牛</t>
  </si>
  <si>
    <t xml:space="preserve">あだたら酵母和牛</t>
  </si>
  <si>
    <t xml:space="preserve">關東</t>
  </si>
  <si>
    <t xml:space="preserve">茨城</t>
  </si>
  <si>
    <t xml:space="preserve">常陸牛</t>
  </si>
  <si>
    <t xml:space="preserve">紫峰牛</t>
  </si>
  <si>
    <t xml:space="preserve">筑波和牛</t>
  </si>
  <si>
    <t xml:space="preserve">つくば山麓 飯村牛</t>
  </si>
  <si>
    <t xml:space="preserve">紬牛</t>
  </si>
  <si>
    <t xml:space="preserve">花園牛</t>
  </si>
  <si>
    <t xml:space="preserve">栃木</t>
  </si>
  <si>
    <t xml:space="preserve">とちぎ和牛</t>
  </si>
  <si>
    <t xml:space="preserve">とちぎ高原和牛</t>
  </si>
  <si>
    <t xml:space="preserve">かぬま和牛</t>
  </si>
  <si>
    <t xml:space="preserve">大田原牛</t>
  </si>
  <si>
    <t xml:space="preserve">おやま和牛</t>
  </si>
  <si>
    <t xml:space="preserve">那須和牛</t>
  </si>
  <si>
    <t xml:space="preserve">さくら和牛</t>
  </si>
  <si>
    <t xml:space="preserve">とちぎ霧降高原牛</t>
  </si>
  <si>
    <t xml:space="preserve">群馬</t>
  </si>
  <si>
    <t xml:space="preserve">上州和牛</t>
  </si>
  <si>
    <t xml:space="preserve">上州牛</t>
  </si>
  <si>
    <t xml:space="preserve">含黑毛和種</t>
  </si>
  <si>
    <t xml:space="preserve">赤城和牛</t>
  </si>
  <si>
    <t xml:space="preserve">高崎牛</t>
  </si>
  <si>
    <t xml:space="preserve">高崎市</t>
  </si>
  <si>
    <t xml:space="preserve">埼玉</t>
  </si>
  <si>
    <t xml:space="preserve">武州和牛</t>
  </si>
  <si>
    <t xml:space="preserve">深谷牛</t>
  </si>
  <si>
    <t xml:space="preserve">国分牛</t>
  </si>
  <si>
    <t xml:space="preserve">千葉</t>
  </si>
  <si>
    <t xml:space="preserve">かずさ和牛</t>
  </si>
  <si>
    <t xml:space="preserve">せんば牛・せんば和牛</t>
  </si>
  <si>
    <t xml:space="preserve">みやざわ牛・みやざわ和牛</t>
  </si>
  <si>
    <t xml:space="preserve">しあわせ満天牛</t>
  </si>
  <si>
    <t xml:space="preserve">美都牛</t>
  </si>
  <si>
    <t xml:space="preserve">飯岡牛</t>
  </si>
  <si>
    <t xml:space="preserve">東京</t>
  </si>
  <si>
    <t xml:space="preserve">東京ビーフ</t>
  </si>
  <si>
    <t xml:space="preserve">秋川牛</t>
  </si>
  <si>
    <t xml:space="preserve">東京黒毛和牛</t>
  </si>
  <si>
    <t xml:space="preserve">神奈川</t>
  </si>
  <si>
    <t xml:space="preserve">横濱ビーフ</t>
  </si>
  <si>
    <t xml:space="preserve">市場発横浜牛</t>
  </si>
  <si>
    <t xml:space="preserve">葉山牛</t>
  </si>
  <si>
    <t xml:space="preserve">足柄牛</t>
  </si>
  <si>
    <t xml:space="preserve">やまゆり牛</t>
  </si>
  <si>
    <t xml:space="preserve">相州牛</t>
  </si>
  <si>
    <t xml:space="preserve">相州和牛</t>
  </si>
  <si>
    <t xml:space="preserve">さがみ牛</t>
  </si>
  <si>
    <t xml:space="preserve">湘南和牛</t>
  </si>
  <si>
    <t xml:space="preserve">ちがさき牛</t>
  </si>
  <si>
    <t xml:space="preserve">中部</t>
  </si>
  <si>
    <t xml:space="preserve">新潟</t>
  </si>
  <si>
    <t xml:space="preserve">にいがた和牛</t>
  </si>
  <si>
    <t xml:space="preserve">村上牛</t>
  </si>
  <si>
    <t xml:space="preserve">越後牛</t>
  </si>
  <si>
    <t xml:space="preserve">富山</t>
  </si>
  <si>
    <t xml:space="preserve">とやま和牛</t>
  </si>
  <si>
    <t xml:space="preserve">氷見牛</t>
  </si>
  <si>
    <t xml:space="preserve">稲葉メルヘン牛</t>
  </si>
  <si>
    <t xml:space="preserve">石川</t>
  </si>
  <si>
    <t xml:space="preserve">能登牛</t>
  </si>
  <si>
    <t xml:space="preserve">福井</t>
  </si>
  <si>
    <t xml:space="preserve">若狭牛</t>
  </si>
  <si>
    <t xml:space="preserve">山梨</t>
  </si>
  <si>
    <t xml:space="preserve">甲州牛</t>
  </si>
  <si>
    <t xml:space="preserve">甲州産和牛</t>
  </si>
  <si>
    <t xml:space="preserve">甲州ワインビーフ</t>
  </si>
  <si>
    <t xml:space="preserve">以葡萄酒渣為飼料</t>
  </si>
  <si>
    <t xml:space="preserve">富士山麓牛</t>
  </si>
  <si>
    <t xml:space="preserve">長野</t>
  </si>
  <si>
    <t xml:space="preserve">信州牛（你吃過的名稱）</t>
  </si>
  <si>
    <t xml:space="preserve">信州牛</t>
  </si>
  <si>
    <t xml:space="preserve">長野縣統稱</t>
  </si>
  <si>
    <t xml:space="preserve">信州プレミアム牛肉</t>
  </si>
  <si>
    <t xml:space="preserve">信州牛的縣認定名</t>
  </si>
  <si>
    <t xml:space="preserve">りんごで育った信州牛</t>
  </si>
  <si>
    <t xml:space="preserve">阿智黒毛和牛</t>
  </si>
  <si>
    <t xml:space="preserve">北信州美雪和牛</t>
  </si>
  <si>
    <t xml:space="preserve">信州蓼科牛</t>
  </si>
  <si>
    <t xml:space="preserve">岐阜</t>
  </si>
  <si>
    <t xml:space="preserve">飛騨牛</t>
  </si>
  <si>
    <t xml:space="preserve">飛驒牛</t>
  </si>
  <si>
    <r>
      <rPr>
        <sz val="11"/>
        <rFont val="Noto Sans CJK SC"/>
        <family val="2"/>
      </rPr>
      <t xml:space="preserve">肉質 </t>
    </r>
    <r>
      <rPr>
        <sz val="11"/>
        <rFont val="Arial"/>
        <family val="0"/>
        <charset val="1"/>
      </rPr>
      <t xml:space="preserve">A3 </t>
    </r>
    <r>
      <rPr>
        <sz val="11"/>
        <rFont val="Noto Sans CJK SC"/>
        <family val="2"/>
      </rPr>
      <t xml:space="preserve">以上</t>
    </r>
  </si>
  <si>
    <t xml:space="preserve">靜岡</t>
  </si>
  <si>
    <t xml:space="preserve">しずおか和牛</t>
  </si>
  <si>
    <t xml:space="preserve">遠州夢咲牛</t>
  </si>
  <si>
    <t xml:space="preserve">特選和牛静岡そだち</t>
  </si>
  <si>
    <t xml:space="preserve">みっかび牛</t>
  </si>
  <si>
    <t xml:space="preserve">あしたか牛</t>
  </si>
  <si>
    <t xml:space="preserve">黑毛和種與交雜種</t>
  </si>
  <si>
    <t xml:space="preserve">愛知</t>
  </si>
  <si>
    <t xml:space="preserve">みかわ牛</t>
  </si>
  <si>
    <t xml:space="preserve">知多牛 響</t>
  </si>
  <si>
    <t xml:space="preserve">あいち牛</t>
  </si>
  <si>
    <t xml:space="preserve">安城和牛</t>
  </si>
  <si>
    <t xml:space="preserve">鳳来牛</t>
  </si>
  <si>
    <t xml:space="preserve">鳳來牛</t>
  </si>
  <si>
    <t xml:space="preserve">新城市鳳來</t>
  </si>
  <si>
    <t xml:space="preserve">近畿</t>
  </si>
  <si>
    <t xml:space="preserve">三重</t>
  </si>
  <si>
    <t xml:space="preserve">松阪牛</t>
  </si>
  <si>
    <t xml:space="preserve">日本三大和牛</t>
  </si>
  <si>
    <t xml:space="preserve">伊賀牛</t>
  </si>
  <si>
    <t xml:space="preserve">みえ黒毛和牛</t>
  </si>
  <si>
    <t xml:space="preserve">鈴鹿山麓和牛</t>
  </si>
  <si>
    <t xml:space="preserve">滋賀</t>
  </si>
  <si>
    <t xml:space="preserve">近江牛</t>
  </si>
  <si>
    <t xml:space="preserve">京都</t>
  </si>
  <si>
    <t xml:space="preserve">京都肉</t>
  </si>
  <si>
    <t xml:space="preserve">京の肉</t>
  </si>
  <si>
    <t xml:space="preserve">亀岡牛</t>
  </si>
  <si>
    <t xml:space="preserve">大阪</t>
  </si>
  <si>
    <t xml:space="preserve">大阪ウメビーフ</t>
  </si>
  <si>
    <t xml:space="preserve">なにわ黒牛</t>
  </si>
  <si>
    <t xml:space="preserve">兵庫</t>
  </si>
  <si>
    <t xml:space="preserve">神戸ビーフ（神戸牛）</t>
  </si>
  <si>
    <t xml:space="preserve">但馬牛</t>
  </si>
  <si>
    <t xml:space="preserve">許多品牌牛的血統源頭</t>
  </si>
  <si>
    <t xml:space="preserve">本場但馬牛</t>
  </si>
  <si>
    <t xml:space="preserve">湯村温泉但馬ビーフ</t>
  </si>
  <si>
    <t xml:space="preserve">三田牛</t>
  </si>
  <si>
    <t xml:space="preserve">三田吉本牛（你吃過的名稱）</t>
  </si>
  <si>
    <t xml:space="preserve">三田吉本牛</t>
  </si>
  <si>
    <t xml:space="preserve">三田地區</t>
  </si>
  <si>
    <t xml:space="preserve">六甲姫牛（你吃過的名稱）</t>
  </si>
  <si>
    <t xml:space="preserve">六甲姬牛</t>
  </si>
  <si>
    <t xml:space="preserve">六甲山周邊</t>
  </si>
  <si>
    <t xml:space="preserve">姫路和牛（你吃過的名稱）</t>
  </si>
  <si>
    <t xml:space="preserve">姬路和牛</t>
  </si>
  <si>
    <t xml:space="preserve">姬路一帶</t>
  </si>
  <si>
    <t xml:space="preserve">丹波篠山牛</t>
  </si>
  <si>
    <t xml:space="preserve">神戸ワインビーフ</t>
  </si>
  <si>
    <t xml:space="preserve">神戶紅酒牛</t>
  </si>
  <si>
    <t xml:space="preserve">神戶市；你吃過的「紅酒牛」</t>
  </si>
  <si>
    <t xml:space="preserve">淡路ビーフ</t>
  </si>
  <si>
    <t xml:space="preserve">加古川和牛</t>
  </si>
  <si>
    <t xml:space="preserve">黒田庄和牛</t>
  </si>
  <si>
    <t xml:space="preserve">奈良</t>
  </si>
  <si>
    <t xml:space="preserve">大和牛</t>
  </si>
  <si>
    <t xml:space="preserve">まほろば赤牛</t>
  </si>
  <si>
    <t xml:space="preserve">和歌山</t>
  </si>
  <si>
    <t xml:space="preserve">熊野牛</t>
  </si>
  <si>
    <t xml:space="preserve">紀州和華牛</t>
  </si>
  <si>
    <t xml:space="preserve">中國・四國</t>
  </si>
  <si>
    <t xml:space="preserve">鳥取</t>
  </si>
  <si>
    <t xml:space="preserve">鳥取和牛</t>
  </si>
  <si>
    <t xml:space="preserve">東伯和牛</t>
  </si>
  <si>
    <t xml:space="preserve">琴浦町</t>
  </si>
  <si>
    <t xml:space="preserve">大山黒牛</t>
  </si>
  <si>
    <r>
      <rPr>
        <sz val="11"/>
        <rFont val="Noto Sans CJK SC"/>
        <family val="2"/>
      </rPr>
      <t xml:space="preserve">鳥取</t>
    </r>
    <r>
      <rPr>
        <sz val="11"/>
        <rFont val="Arial"/>
        <family val="0"/>
        <charset val="1"/>
      </rPr>
      <t xml:space="preserve">F1</t>
    </r>
  </si>
  <si>
    <t xml:space="preserve">島根</t>
  </si>
  <si>
    <t xml:space="preserve">島生まれ島育ち 隠岐牛</t>
  </si>
  <si>
    <t xml:space="preserve">奥出雲和牛</t>
  </si>
  <si>
    <t xml:space="preserve">いずも和牛</t>
  </si>
  <si>
    <t xml:space="preserve">石見和牛肉</t>
  </si>
  <si>
    <t xml:space="preserve">潮凪牛</t>
  </si>
  <si>
    <t xml:space="preserve">銀山和牛</t>
  </si>
  <si>
    <t xml:space="preserve">銀山牛</t>
  </si>
  <si>
    <t xml:space="preserve">島根農場直營</t>
  </si>
  <si>
    <t xml:space="preserve">岡山</t>
  </si>
  <si>
    <t xml:space="preserve">千屋牛</t>
  </si>
  <si>
    <t xml:space="preserve">つやま和牛</t>
  </si>
  <si>
    <t xml:space="preserve">なぎビーフ</t>
  </si>
  <si>
    <t xml:space="preserve">備中牛</t>
  </si>
  <si>
    <t xml:space="preserve">おかやま和牛肉</t>
  </si>
  <si>
    <t xml:space="preserve">廣島</t>
  </si>
  <si>
    <t xml:space="preserve">広島牛</t>
  </si>
  <si>
    <t xml:space="preserve">比婆牛</t>
  </si>
  <si>
    <t xml:space="preserve">神石牛</t>
  </si>
  <si>
    <t xml:space="preserve">榊山牛</t>
  </si>
  <si>
    <t xml:space="preserve">山口</t>
  </si>
  <si>
    <t xml:space="preserve">長萩和牛</t>
  </si>
  <si>
    <t xml:space="preserve">無角和牛</t>
  </si>
  <si>
    <t xml:space="preserve">無角和種</t>
  </si>
  <si>
    <t xml:space="preserve">日本少見的無角和種</t>
  </si>
  <si>
    <t xml:space="preserve">德島</t>
  </si>
  <si>
    <t xml:space="preserve">阿波牛</t>
  </si>
  <si>
    <t xml:space="preserve">とくしま三ツ星ビーフ</t>
  </si>
  <si>
    <t xml:space="preserve">香川</t>
  </si>
  <si>
    <t xml:space="preserve">オリーブ牛</t>
  </si>
  <si>
    <t xml:space="preserve">橄欖牛</t>
  </si>
  <si>
    <t xml:space="preserve">餵橄欖果渣</t>
  </si>
  <si>
    <t xml:space="preserve">讃岐牛</t>
  </si>
  <si>
    <t xml:space="preserve">愛媛</t>
  </si>
  <si>
    <t xml:space="preserve">伊予牛「絹の味」</t>
  </si>
  <si>
    <t xml:space="preserve">いしづち牛</t>
  </si>
  <si>
    <t xml:space="preserve">愛媛あかね和牛</t>
  </si>
  <si>
    <t xml:space="preserve">高知</t>
  </si>
  <si>
    <t xml:space="preserve">土佐あかうし</t>
  </si>
  <si>
    <t xml:space="preserve">土佐赤牛</t>
  </si>
  <si>
    <t xml:space="preserve">土佐和牛</t>
  </si>
  <si>
    <t xml:space="preserve">黑毛與褐毛</t>
  </si>
  <si>
    <t xml:space="preserve">九州・沖繩</t>
  </si>
  <si>
    <t xml:space="preserve">福岡</t>
  </si>
  <si>
    <t xml:space="preserve">博多和牛</t>
  </si>
  <si>
    <t xml:space="preserve">糸島牛</t>
  </si>
  <si>
    <t xml:space="preserve">小倉牛</t>
  </si>
  <si>
    <t xml:space="preserve">筑穂牛</t>
  </si>
  <si>
    <t xml:space="preserve">佐賀</t>
  </si>
  <si>
    <t xml:space="preserve">佐賀牛</t>
  </si>
  <si>
    <t xml:space="preserve">伊万里牛</t>
  </si>
  <si>
    <t xml:space="preserve">佐賀産和牛</t>
  </si>
  <si>
    <t xml:space="preserve">長崎</t>
  </si>
  <si>
    <t xml:space="preserve">長崎和牛</t>
  </si>
  <si>
    <t xml:space="preserve">壱岐牛</t>
  </si>
  <si>
    <t xml:space="preserve">五島牛</t>
  </si>
  <si>
    <t xml:space="preserve">熊本</t>
  </si>
  <si>
    <t xml:space="preserve">くまもと黒毛和牛</t>
  </si>
  <si>
    <t xml:space="preserve">熊本和牛</t>
  </si>
  <si>
    <t xml:space="preserve">你記的「熊本和牛」對應此品牌</t>
  </si>
  <si>
    <t xml:space="preserve">くまもとあか牛</t>
  </si>
  <si>
    <t xml:space="preserve">プレミアム和王</t>
  </si>
  <si>
    <t xml:space="preserve">藤彩牛</t>
  </si>
  <si>
    <t xml:space="preserve">大分</t>
  </si>
  <si>
    <t xml:space="preserve">おおいた和牛</t>
  </si>
  <si>
    <t xml:space="preserve">豊後牛</t>
  </si>
  <si>
    <t xml:space="preserve">湯布院牛</t>
  </si>
  <si>
    <t xml:space="preserve">おおいた豊美牛</t>
  </si>
  <si>
    <r>
      <rPr>
        <sz val="11"/>
        <rFont val="Arial"/>
        <family val="0"/>
        <charset val="1"/>
      </rPr>
      <t xml:space="preserve">F1 </t>
    </r>
    <r>
      <rPr>
        <sz val="11"/>
        <rFont val="Noto Sans CJK SC"/>
        <family val="2"/>
      </rPr>
      <t xml:space="preserve">豐美牛</t>
    </r>
  </si>
  <si>
    <r>
      <rPr>
        <sz val="11"/>
        <rFont val="Noto Sans CJK SC"/>
        <family val="2"/>
      </rPr>
      <t xml:space="preserve">你記的 </t>
    </r>
    <r>
      <rPr>
        <sz val="11"/>
        <rFont val="Arial"/>
        <family val="0"/>
        <charset val="1"/>
      </rPr>
      <t xml:space="preserve">F1 </t>
    </r>
    <r>
      <rPr>
        <sz val="11"/>
        <rFont val="Noto Sans CJK SC"/>
        <family val="2"/>
      </rPr>
      <t xml:space="preserve">即交雜種</t>
    </r>
  </si>
  <si>
    <t xml:space="preserve">宮崎</t>
  </si>
  <si>
    <t xml:space="preserve">宮崎牛</t>
  </si>
  <si>
    <r>
      <rPr>
        <sz val="11"/>
        <rFont val="Noto Sans CJK SC"/>
        <family val="2"/>
      </rPr>
      <t xml:space="preserve">肉質 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等級以上</t>
    </r>
  </si>
  <si>
    <t xml:space="preserve">尾崎牛</t>
  </si>
  <si>
    <t xml:space="preserve">尾崎宗春個人品牌</t>
  </si>
  <si>
    <t xml:space="preserve">霧峰牛</t>
  </si>
  <si>
    <t xml:space="preserve">鹿兒島</t>
  </si>
  <si>
    <t xml:space="preserve">鹿児島黒牛</t>
  </si>
  <si>
    <t xml:space="preserve">薩摩牛（你吃過的名稱）</t>
  </si>
  <si>
    <t xml:space="preserve">薩摩牛</t>
  </si>
  <si>
    <t xml:space="preserve">鹿兒島縣</t>
  </si>
  <si>
    <t xml:space="preserve">小田牛</t>
  </si>
  <si>
    <t xml:space="preserve">のざき牛</t>
  </si>
  <si>
    <t xml:space="preserve">曾於さくら牛</t>
  </si>
  <si>
    <t xml:space="preserve">沖繩</t>
  </si>
  <si>
    <t xml:space="preserve">石垣牛</t>
  </si>
  <si>
    <t xml:space="preserve">おきなわ和牛</t>
  </si>
  <si>
    <t xml:space="preserve">もとぶ牛</t>
  </si>
  <si>
    <t xml:space="preserve">跨縣</t>
  </si>
  <si>
    <t xml:space="preserve">東北六縣</t>
  </si>
  <si>
    <t xml:space="preserve">東北ビーフ</t>
  </si>
  <si>
    <t xml:space="preserve">東北六縣共通品牌</t>
  </si>
  <si>
    <t xml:space="preserve">九州各縣</t>
  </si>
  <si>
    <t xml:space="preserve">九州王</t>
  </si>
  <si>
    <t xml:space="preserve">九州王和牛</t>
  </si>
  <si>
    <r>
      <rPr>
        <sz val="11"/>
        <rFont val="Noto Sans CJK SC"/>
        <family val="2"/>
      </rPr>
      <t xml:space="preserve">日本 </t>
    </r>
    <r>
      <rPr>
        <sz val="11"/>
        <rFont val="Arial"/>
        <family val="0"/>
        <charset val="1"/>
      </rPr>
      <t xml:space="preserve">Ham </t>
    </r>
    <r>
      <rPr>
        <sz val="11"/>
        <rFont val="Noto Sans CJK SC"/>
        <family val="2"/>
      </rPr>
      <t xml:space="preserve">選別，肉質 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等級以上</t>
    </r>
  </si>
  <si>
    <t xml:space="preserve">收錄品牌數</t>
  </si>
  <si>
    <t xml:space="preserve">已吃數</t>
  </si>
  <si>
    <t xml:space="preserve">已吃比例</t>
  </si>
  <si>
    <t xml:space="preserve">跨縣品牌</t>
  </si>
  <si>
    <t xml:space="preserve">—</t>
  </si>
  <si>
    <t xml:space="preserve">合計</t>
  </si>
  <si>
    <t xml:space="preserve">怎麼用</t>
  </si>
  <si>
    <t xml:space="preserve">已吃欄</t>
  </si>
  <si>
    <r>
      <rPr>
        <sz val="11"/>
        <rFont val="Noto Sans CJK SC"/>
        <family val="2"/>
      </rPr>
      <t xml:space="preserve">在「全日本品牌牛」的 </t>
    </r>
    <r>
      <rPr>
        <sz val="11"/>
        <rFont val="Arial"/>
        <family val="0"/>
        <charset val="1"/>
      </rPr>
      <t xml:space="preserve">F </t>
    </r>
    <r>
      <rPr>
        <sz val="11"/>
        <rFont val="Noto Sans CJK SC"/>
        <family val="2"/>
      </rPr>
      <t xml:space="preserve">欄填 ✓，「各縣統計」會自動更新已吃數與比例。黃底格是還沒吃過、可以填的格子。</t>
    </r>
  </si>
  <si>
    <t xml:space="preserve">你原本記的品牌名；和日文官方名稱不同時，備註欄有說明。</t>
  </si>
  <si>
    <t xml:space="preserve">只在來源寫明，或品牌本身定義品種時標示；其餘為「未標示」。</t>
  </si>
  <si>
    <t xml:space="preserve">資料來源</t>
  </si>
  <si>
    <t xml:space="preserve">1</t>
  </si>
  <si>
    <r>
      <rPr>
        <sz val="11"/>
        <rFont val="Noto Sans CJK SC"/>
        <family val="2"/>
      </rPr>
      <t xml:space="preserve">維基百科「日本のブランド牛一覧」 </t>
    </r>
    <r>
      <rPr>
        <sz val="11"/>
        <rFont val="Arial"/>
        <family val="0"/>
        <charset val="1"/>
      </rPr>
      <t xml:space="preserve">https://ja.wikipedia.org/wiki/</t>
    </r>
    <r>
      <rPr>
        <sz val="11"/>
        <rFont val="Noto Sans CJK SC"/>
        <family val="2"/>
      </rPr>
      <t xml:space="preserve">日本のブランド牛一覧</t>
    </r>
  </si>
  <si>
    <t xml:space="preserve">2</t>
  </si>
  <si>
    <r>
      <rPr>
        <sz val="11"/>
        <rFont val="Noto Sans CJK SC"/>
        <family val="2"/>
      </rPr>
      <t xml:space="preserve">日本全国のブランド牛肉・銘柄牛一覧 </t>
    </r>
    <r>
      <rPr>
        <sz val="11"/>
        <rFont val="Arial"/>
        <family val="0"/>
        <charset val="1"/>
      </rPr>
      <t xml:space="preserve">https://brand-meat.com/brand-beef-index/</t>
    </r>
  </si>
  <si>
    <t xml:space="preserve">3</t>
  </si>
  <si>
    <r>
      <rPr>
        <sz val="11"/>
        <rFont val="Noto Sans CJK SC"/>
        <family val="2"/>
      </rPr>
      <t xml:space="preserve">和牛／銘柄牛 都道府県別一覧 </t>
    </r>
    <r>
      <rPr>
        <sz val="11"/>
        <rFont val="Arial"/>
        <family val="0"/>
        <charset val="1"/>
      </rPr>
      <t xml:space="preserve">https://www.penguin-toyu.net/otoriyose/wagyu.html</t>
    </r>
  </si>
  <si>
    <t xml:space="preserve">4</t>
  </si>
  <si>
    <t xml:space="preserve">你吃過但不在以上名單的品牌，依品牌官網與縣政資料補上（例如雪美和牛、びえい和牛、銀山和牛、九州王）</t>
  </si>
  <si>
    <t xml:space="preserve">注意</t>
  </si>
  <si>
    <r>
      <rPr>
        <sz val="11"/>
        <rFont val="Noto Sans CJK SC"/>
        <family val="2"/>
      </rPr>
      <t xml:space="preserve">日本實際的品牌牛超過本表數量，這份是 </t>
    </r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月整理的參考清單。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</si>
</sst>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;\-0;\-"/>
    <numFmt numFmtId="166" formatCode="0%;\-0%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2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5F8268"/>
        <bgColor rgb="FF666699"/>
      </patternFill>
    </fill>
    <fill>
      <patternFill patternType="solid">
        <fgColor rgb="FFE3EBE1"/>
        <bgColor rgb="FFD5D9CF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9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5F8268"/>
          <bgColor rgb="FF000000"/>
        </patternFill>
      </fill>
    </dxf>
    <dxf>
      <fill>
        <patternFill patternType="solid">
          <fgColor rgb="FFE3EB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F8268"/>
      <rgbColor rgb="FF9999FF"/>
      <rgbColor rgb="FF993366"/>
      <rgbColor rgb="FFFFF4C2"/>
      <rgbColor rgb="FFCCFFFF"/>
      <rgbColor rgb="FF660066"/>
      <rgbColor rgb="FFFF8080"/>
      <rgbColor rgb="FF0066CC"/>
      <rgbColor rgb="FFD5D9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B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3" t="s">
        <v>8</v>
      </c>
      <c r="C2" s="3" t="s">
        <v>8</v>
      </c>
      <c r="D2" s="3" t="s">
        <v>9</v>
      </c>
      <c r="E2" s="3" t="s">
        <v>10</v>
      </c>
      <c r="F2" s="4" t="s">
        <v>11</v>
      </c>
      <c r="G2" s="3" t="s">
        <v>9</v>
      </c>
      <c r="H2" s="2"/>
    </row>
    <row r="3" customFormat="false" ht="15" hidden="false" customHeight="false" outlineLevel="0" collapsed="false">
      <c r="A3" s="2" t="n">
        <v>2</v>
      </c>
      <c r="B3" s="3" t="s">
        <v>8</v>
      </c>
      <c r="C3" s="3" t="s">
        <v>8</v>
      </c>
      <c r="D3" s="3" t="s">
        <v>12</v>
      </c>
      <c r="E3" s="3" t="s">
        <v>13</v>
      </c>
      <c r="F3" s="4" t="s">
        <v>11</v>
      </c>
      <c r="G3" s="3" t="s">
        <v>14</v>
      </c>
      <c r="H3" s="3" t="s">
        <v>15</v>
      </c>
    </row>
    <row r="4" customFormat="false" ht="15" hidden="false" customHeight="false" outlineLevel="0" collapsed="false">
      <c r="A4" s="5" t="n">
        <v>3</v>
      </c>
      <c r="B4" s="6" t="s">
        <v>8</v>
      </c>
      <c r="C4" s="6" t="s">
        <v>8</v>
      </c>
      <c r="D4" s="6" t="s">
        <v>16</v>
      </c>
      <c r="E4" s="6" t="s">
        <v>13</v>
      </c>
      <c r="F4" s="7"/>
      <c r="G4" s="5"/>
      <c r="H4" s="5"/>
    </row>
    <row r="5" customFormat="false" ht="15" hidden="false" customHeight="false" outlineLevel="0" collapsed="false">
      <c r="A5" s="5" t="n">
        <v>4</v>
      </c>
      <c r="B5" s="6" t="s">
        <v>8</v>
      </c>
      <c r="C5" s="6" t="s">
        <v>8</v>
      </c>
      <c r="D5" s="6" t="s">
        <v>17</v>
      </c>
      <c r="E5" s="6" t="s">
        <v>10</v>
      </c>
      <c r="F5" s="7"/>
      <c r="G5" s="5"/>
      <c r="H5" s="6" t="s">
        <v>18</v>
      </c>
    </row>
    <row r="6" customFormat="false" ht="15" hidden="false" customHeight="false" outlineLevel="0" collapsed="false">
      <c r="A6" s="2" t="n">
        <v>5</v>
      </c>
      <c r="B6" s="3" t="s">
        <v>8</v>
      </c>
      <c r="C6" s="3" t="s">
        <v>8</v>
      </c>
      <c r="D6" s="3" t="s">
        <v>19</v>
      </c>
      <c r="E6" s="3" t="s">
        <v>20</v>
      </c>
      <c r="F6" s="4" t="s">
        <v>11</v>
      </c>
      <c r="G6" s="3" t="s">
        <v>19</v>
      </c>
      <c r="H6" s="3" t="s">
        <v>21</v>
      </c>
    </row>
    <row r="7" customFormat="false" ht="17.15" hidden="false" customHeight="false" outlineLevel="0" collapsed="false">
      <c r="A7" s="2" t="n">
        <v>6</v>
      </c>
      <c r="B7" s="3" t="s">
        <v>8</v>
      </c>
      <c r="C7" s="3" t="s">
        <v>8</v>
      </c>
      <c r="D7" s="3" t="s">
        <v>22</v>
      </c>
      <c r="E7" s="3" t="s">
        <v>10</v>
      </c>
      <c r="F7" s="4" t="s">
        <v>11</v>
      </c>
      <c r="G7" s="3" t="s">
        <v>23</v>
      </c>
      <c r="H7" s="3" t="s">
        <v>24</v>
      </c>
    </row>
    <row r="8" customFormat="false" ht="15" hidden="false" customHeight="false" outlineLevel="0" collapsed="false">
      <c r="A8" s="5" t="n">
        <v>7</v>
      </c>
      <c r="B8" s="6" t="s">
        <v>8</v>
      </c>
      <c r="C8" s="6" t="s">
        <v>8</v>
      </c>
      <c r="D8" s="6" t="s">
        <v>25</v>
      </c>
      <c r="E8" s="6" t="s">
        <v>20</v>
      </c>
      <c r="F8" s="7"/>
      <c r="G8" s="5"/>
      <c r="H8" s="6" t="s">
        <v>26</v>
      </c>
    </row>
    <row r="9" customFormat="false" ht="17.15" hidden="false" customHeight="false" outlineLevel="0" collapsed="false">
      <c r="A9" s="2" t="n">
        <v>8</v>
      </c>
      <c r="B9" s="3" t="s">
        <v>8</v>
      </c>
      <c r="C9" s="3" t="s">
        <v>8</v>
      </c>
      <c r="D9" s="3" t="s">
        <v>27</v>
      </c>
      <c r="E9" s="3" t="s">
        <v>10</v>
      </c>
      <c r="F9" s="4" t="s">
        <v>11</v>
      </c>
      <c r="G9" s="3" t="s">
        <v>28</v>
      </c>
      <c r="H9" s="3" t="s">
        <v>29</v>
      </c>
    </row>
    <row r="10" customFormat="false" ht="15" hidden="false" customHeight="false" outlineLevel="0" collapsed="false">
      <c r="A10" s="5" t="n">
        <v>9</v>
      </c>
      <c r="B10" s="6" t="s">
        <v>8</v>
      </c>
      <c r="C10" s="6" t="s">
        <v>8</v>
      </c>
      <c r="D10" s="6" t="s">
        <v>30</v>
      </c>
      <c r="E10" s="6" t="s">
        <v>13</v>
      </c>
      <c r="F10" s="7"/>
      <c r="G10" s="5"/>
      <c r="H10" s="5"/>
    </row>
    <row r="11" customFormat="false" ht="15" hidden="false" customHeight="false" outlineLevel="0" collapsed="false">
      <c r="A11" s="5" t="n">
        <v>10</v>
      </c>
      <c r="B11" s="6" t="s">
        <v>8</v>
      </c>
      <c r="C11" s="6" t="s">
        <v>8</v>
      </c>
      <c r="D11" s="6" t="s">
        <v>31</v>
      </c>
      <c r="E11" s="6" t="s">
        <v>13</v>
      </c>
      <c r="F11" s="7"/>
      <c r="G11" s="5"/>
      <c r="H11" s="5"/>
    </row>
    <row r="12" customFormat="false" ht="15" hidden="false" customHeight="false" outlineLevel="0" collapsed="false">
      <c r="A12" s="5" t="n">
        <v>11</v>
      </c>
      <c r="B12" s="6" t="s">
        <v>8</v>
      </c>
      <c r="C12" s="6" t="s">
        <v>8</v>
      </c>
      <c r="D12" s="6" t="s">
        <v>32</v>
      </c>
      <c r="E12" s="6" t="s">
        <v>13</v>
      </c>
      <c r="F12" s="7"/>
      <c r="G12" s="5"/>
      <c r="H12" s="5"/>
    </row>
    <row r="13" customFormat="false" ht="15" hidden="false" customHeight="false" outlineLevel="0" collapsed="false">
      <c r="A13" s="2" t="n">
        <v>12</v>
      </c>
      <c r="B13" s="3" t="s">
        <v>8</v>
      </c>
      <c r="C13" s="3" t="s">
        <v>8</v>
      </c>
      <c r="D13" s="3" t="s">
        <v>33</v>
      </c>
      <c r="E13" s="3" t="s">
        <v>34</v>
      </c>
      <c r="F13" s="4" t="s">
        <v>11</v>
      </c>
      <c r="G13" s="3" t="s">
        <v>35</v>
      </c>
      <c r="H13" s="3" t="s">
        <v>36</v>
      </c>
    </row>
    <row r="14" customFormat="false" ht="15" hidden="false" customHeight="false" outlineLevel="0" collapsed="false">
      <c r="A14" s="2" t="n">
        <v>13</v>
      </c>
      <c r="B14" s="3" t="s">
        <v>8</v>
      </c>
      <c r="C14" s="3" t="s">
        <v>8</v>
      </c>
      <c r="D14" s="3" t="s">
        <v>37</v>
      </c>
      <c r="E14" s="3" t="s">
        <v>13</v>
      </c>
      <c r="F14" s="4" t="s">
        <v>11</v>
      </c>
      <c r="G14" s="3" t="s">
        <v>38</v>
      </c>
      <c r="H14" s="3" t="s">
        <v>39</v>
      </c>
    </row>
    <row r="15" customFormat="false" ht="15" hidden="false" customHeight="false" outlineLevel="0" collapsed="false">
      <c r="A15" s="5" t="n">
        <v>14</v>
      </c>
      <c r="B15" s="6" t="s">
        <v>8</v>
      </c>
      <c r="C15" s="6" t="s">
        <v>8</v>
      </c>
      <c r="D15" s="6" t="s">
        <v>40</v>
      </c>
      <c r="E15" s="6" t="s">
        <v>13</v>
      </c>
      <c r="F15" s="7"/>
      <c r="G15" s="5"/>
      <c r="H15" s="5"/>
    </row>
    <row r="16" customFormat="false" ht="15" hidden="false" customHeight="false" outlineLevel="0" collapsed="false">
      <c r="A16" s="5" t="n">
        <v>15</v>
      </c>
      <c r="B16" s="6" t="s">
        <v>8</v>
      </c>
      <c r="C16" s="6" t="s">
        <v>8</v>
      </c>
      <c r="D16" s="6" t="s">
        <v>41</v>
      </c>
      <c r="E16" s="6" t="s">
        <v>13</v>
      </c>
      <c r="F16" s="7"/>
      <c r="G16" s="5"/>
      <c r="H16" s="5"/>
    </row>
    <row r="17" customFormat="false" ht="15" hidden="false" customHeight="false" outlineLevel="0" collapsed="false">
      <c r="A17" s="5" t="n">
        <v>16</v>
      </c>
      <c r="B17" s="6" t="s">
        <v>8</v>
      </c>
      <c r="C17" s="6" t="s">
        <v>8</v>
      </c>
      <c r="D17" s="6" t="s">
        <v>42</v>
      </c>
      <c r="E17" s="6" t="s">
        <v>13</v>
      </c>
      <c r="F17" s="7"/>
      <c r="G17" s="5"/>
      <c r="H17" s="5"/>
    </row>
    <row r="18" customFormat="false" ht="15" hidden="false" customHeight="false" outlineLevel="0" collapsed="false">
      <c r="A18" s="5" t="n">
        <v>17</v>
      </c>
      <c r="B18" s="6" t="s">
        <v>8</v>
      </c>
      <c r="C18" s="6" t="s">
        <v>8</v>
      </c>
      <c r="D18" s="6" t="s">
        <v>43</v>
      </c>
      <c r="E18" s="6" t="s">
        <v>13</v>
      </c>
      <c r="F18" s="7"/>
      <c r="G18" s="5"/>
      <c r="H18" s="5"/>
    </row>
    <row r="19" customFormat="false" ht="15" hidden="false" customHeight="false" outlineLevel="0" collapsed="false">
      <c r="A19" s="5" t="n">
        <v>18</v>
      </c>
      <c r="B19" s="6" t="s">
        <v>8</v>
      </c>
      <c r="C19" s="6" t="s">
        <v>8</v>
      </c>
      <c r="D19" s="6" t="s">
        <v>44</v>
      </c>
      <c r="E19" s="6" t="s">
        <v>13</v>
      </c>
      <c r="F19" s="7"/>
      <c r="G19" s="5"/>
      <c r="H19" s="5"/>
    </row>
    <row r="20" customFormat="false" ht="15" hidden="false" customHeight="false" outlineLevel="0" collapsed="false">
      <c r="A20" s="5" t="n">
        <v>19</v>
      </c>
      <c r="B20" s="6" t="s">
        <v>8</v>
      </c>
      <c r="C20" s="6" t="s">
        <v>8</v>
      </c>
      <c r="D20" s="6" t="s">
        <v>45</v>
      </c>
      <c r="E20" s="6" t="s">
        <v>13</v>
      </c>
      <c r="F20" s="7"/>
      <c r="G20" s="5"/>
      <c r="H20" s="5"/>
    </row>
    <row r="21" customFormat="false" ht="15" hidden="false" customHeight="false" outlineLevel="0" collapsed="false">
      <c r="A21" s="5" t="n">
        <v>20</v>
      </c>
      <c r="B21" s="6" t="s">
        <v>8</v>
      </c>
      <c r="C21" s="6" t="s">
        <v>8</v>
      </c>
      <c r="D21" s="6" t="s">
        <v>46</v>
      </c>
      <c r="E21" s="6" t="s">
        <v>13</v>
      </c>
      <c r="F21" s="7"/>
      <c r="G21" s="5"/>
      <c r="H21" s="5"/>
    </row>
    <row r="22" customFormat="false" ht="15" hidden="false" customHeight="false" outlineLevel="0" collapsed="false">
      <c r="A22" s="5" t="n">
        <v>21</v>
      </c>
      <c r="B22" s="6" t="s">
        <v>8</v>
      </c>
      <c r="C22" s="6" t="s">
        <v>8</v>
      </c>
      <c r="D22" s="6" t="s">
        <v>47</v>
      </c>
      <c r="E22" s="6" t="s">
        <v>13</v>
      </c>
      <c r="F22" s="7"/>
      <c r="G22" s="5"/>
      <c r="H22" s="5"/>
    </row>
    <row r="23" customFormat="false" ht="15" hidden="false" customHeight="false" outlineLevel="0" collapsed="false">
      <c r="A23" s="5" t="n">
        <v>22</v>
      </c>
      <c r="B23" s="6" t="s">
        <v>8</v>
      </c>
      <c r="C23" s="6" t="s">
        <v>8</v>
      </c>
      <c r="D23" s="6" t="s">
        <v>48</v>
      </c>
      <c r="E23" s="6" t="s">
        <v>13</v>
      </c>
      <c r="F23" s="7"/>
      <c r="G23" s="5"/>
      <c r="H23" s="5"/>
    </row>
    <row r="24" customFormat="false" ht="15" hidden="false" customHeight="false" outlineLevel="0" collapsed="false">
      <c r="A24" s="5" t="n">
        <v>23</v>
      </c>
      <c r="B24" s="6" t="s">
        <v>8</v>
      </c>
      <c r="C24" s="6" t="s">
        <v>8</v>
      </c>
      <c r="D24" s="6" t="s">
        <v>49</v>
      </c>
      <c r="E24" s="6" t="s">
        <v>13</v>
      </c>
      <c r="F24" s="7"/>
      <c r="G24" s="5"/>
      <c r="H24" s="5"/>
    </row>
    <row r="25" customFormat="false" ht="15" hidden="false" customHeight="false" outlineLevel="0" collapsed="false">
      <c r="A25" s="5" t="n">
        <v>24</v>
      </c>
      <c r="B25" s="6" t="s">
        <v>8</v>
      </c>
      <c r="C25" s="6" t="s">
        <v>8</v>
      </c>
      <c r="D25" s="6" t="s">
        <v>50</v>
      </c>
      <c r="E25" s="6" t="s">
        <v>13</v>
      </c>
      <c r="F25" s="7"/>
      <c r="G25" s="5"/>
      <c r="H25" s="5"/>
    </row>
    <row r="26" customFormat="false" ht="15" hidden="false" customHeight="false" outlineLevel="0" collapsed="false">
      <c r="A26" s="5" t="n">
        <v>25</v>
      </c>
      <c r="B26" s="6" t="s">
        <v>8</v>
      </c>
      <c r="C26" s="6" t="s">
        <v>8</v>
      </c>
      <c r="D26" s="6" t="s">
        <v>51</v>
      </c>
      <c r="E26" s="6" t="s">
        <v>13</v>
      </c>
      <c r="F26" s="7"/>
      <c r="G26" s="5"/>
      <c r="H26" s="5"/>
    </row>
    <row r="27" customFormat="false" ht="15" hidden="false" customHeight="false" outlineLevel="0" collapsed="false">
      <c r="A27" s="5" t="n">
        <v>26</v>
      </c>
      <c r="B27" s="6" t="s">
        <v>8</v>
      </c>
      <c r="C27" s="6" t="s">
        <v>8</v>
      </c>
      <c r="D27" s="6" t="s">
        <v>52</v>
      </c>
      <c r="E27" s="6" t="s">
        <v>13</v>
      </c>
      <c r="F27" s="7"/>
      <c r="G27" s="5"/>
      <c r="H27" s="5"/>
    </row>
    <row r="28" customFormat="false" ht="15" hidden="false" customHeight="false" outlineLevel="0" collapsed="false">
      <c r="A28" s="5" t="n">
        <v>27</v>
      </c>
      <c r="B28" s="6" t="s">
        <v>8</v>
      </c>
      <c r="C28" s="6" t="s">
        <v>8</v>
      </c>
      <c r="D28" s="6" t="s">
        <v>53</v>
      </c>
      <c r="E28" s="6" t="s">
        <v>13</v>
      </c>
      <c r="F28" s="7"/>
      <c r="G28" s="5"/>
      <c r="H28" s="5"/>
    </row>
    <row r="29" customFormat="false" ht="15" hidden="false" customHeight="false" outlineLevel="0" collapsed="false">
      <c r="A29" s="5" t="n">
        <v>28</v>
      </c>
      <c r="B29" s="6" t="s">
        <v>8</v>
      </c>
      <c r="C29" s="6" t="s">
        <v>8</v>
      </c>
      <c r="D29" s="6" t="s">
        <v>54</v>
      </c>
      <c r="E29" s="6" t="s">
        <v>13</v>
      </c>
      <c r="F29" s="7"/>
      <c r="G29" s="5"/>
      <c r="H29" s="5"/>
    </row>
    <row r="30" customFormat="false" ht="15" hidden="false" customHeight="false" outlineLevel="0" collapsed="false">
      <c r="A30" s="5" t="n">
        <v>29</v>
      </c>
      <c r="B30" s="6" t="s">
        <v>8</v>
      </c>
      <c r="C30" s="6" t="s">
        <v>8</v>
      </c>
      <c r="D30" s="6" t="s">
        <v>55</v>
      </c>
      <c r="E30" s="6" t="s">
        <v>13</v>
      </c>
      <c r="F30" s="7"/>
      <c r="G30" s="5"/>
      <c r="H30" s="5"/>
    </row>
    <row r="31" customFormat="false" ht="15" hidden="false" customHeight="false" outlineLevel="0" collapsed="false">
      <c r="A31" s="5" t="n">
        <v>30</v>
      </c>
      <c r="B31" s="6" t="s">
        <v>8</v>
      </c>
      <c r="C31" s="6" t="s">
        <v>8</v>
      </c>
      <c r="D31" s="6" t="s">
        <v>56</v>
      </c>
      <c r="E31" s="6" t="s">
        <v>13</v>
      </c>
      <c r="F31" s="7"/>
      <c r="G31" s="5"/>
      <c r="H31" s="5"/>
    </row>
    <row r="32" customFormat="false" ht="15" hidden="false" customHeight="false" outlineLevel="0" collapsed="false">
      <c r="A32" s="5" t="n">
        <v>31</v>
      </c>
      <c r="B32" s="6" t="s">
        <v>8</v>
      </c>
      <c r="C32" s="6" t="s">
        <v>8</v>
      </c>
      <c r="D32" s="6" t="s">
        <v>57</v>
      </c>
      <c r="E32" s="6" t="s">
        <v>13</v>
      </c>
      <c r="F32" s="7"/>
      <c r="G32" s="5"/>
      <c r="H32" s="5"/>
    </row>
    <row r="33" customFormat="false" ht="15" hidden="false" customHeight="false" outlineLevel="0" collapsed="false">
      <c r="A33" s="5" t="n">
        <v>32</v>
      </c>
      <c r="B33" s="6" t="s">
        <v>8</v>
      </c>
      <c r="C33" s="6" t="s">
        <v>8</v>
      </c>
      <c r="D33" s="6" t="s">
        <v>58</v>
      </c>
      <c r="E33" s="6" t="s">
        <v>13</v>
      </c>
      <c r="F33" s="7"/>
      <c r="G33" s="5"/>
      <c r="H33" s="5"/>
    </row>
    <row r="34" customFormat="false" ht="15" hidden="false" customHeight="false" outlineLevel="0" collapsed="false">
      <c r="A34" s="5" t="n">
        <v>33</v>
      </c>
      <c r="B34" s="6" t="s">
        <v>8</v>
      </c>
      <c r="C34" s="6" t="s">
        <v>8</v>
      </c>
      <c r="D34" s="6" t="s">
        <v>59</v>
      </c>
      <c r="E34" s="6" t="s">
        <v>60</v>
      </c>
      <c r="F34" s="7"/>
      <c r="G34" s="5"/>
      <c r="H34" s="5"/>
    </row>
    <row r="35" customFormat="false" ht="15" hidden="false" customHeight="false" outlineLevel="0" collapsed="false">
      <c r="A35" s="5" t="n">
        <v>34</v>
      </c>
      <c r="B35" s="6" t="s">
        <v>8</v>
      </c>
      <c r="C35" s="6" t="s">
        <v>8</v>
      </c>
      <c r="D35" s="6" t="s">
        <v>61</v>
      </c>
      <c r="E35" s="6" t="s">
        <v>62</v>
      </c>
      <c r="F35" s="7"/>
      <c r="G35" s="5"/>
      <c r="H35" s="5"/>
    </row>
    <row r="36" customFormat="false" ht="15" hidden="false" customHeight="false" outlineLevel="0" collapsed="false">
      <c r="A36" s="5" t="n">
        <v>35</v>
      </c>
      <c r="B36" s="6" t="s">
        <v>8</v>
      </c>
      <c r="C36" s="6" t="s">
        <v>8</v>
      </c>
      <c r="D36" s="6" t="s">
        <v>63</v>
      </c>
      <c r="E36" s="6" t="s">
        <v>62</v>
      </c>
      <c r="F36" s="7"/>
      <c r="G36" s="5"/>
      <c r="H36" s="5"/>
    </row>
    <row r="37" customFormat="false" ht="15" hidden="false" customHeight="false" outlineLevel="0" collapsed="false">
      <c r="A37" s="5" t="n">
        <v>36</v>
      </c>
      <c r="B37" s="6" t="s">
        <v>8</v>
      </c>
      <c r="C37" s="6" t="s">
        <v>8</v>
      </c>
      <c r="D37" s="6" t="s">
        <v>64</v>
      </c>
      <c r="E37" s="6" t="s">
        <v>20</v>
      </c>
      <c r="F37" s="7"/>
      <c r="G37" s="5"/>
      <c r="H37" s="6" t="s">
        <v>65</v>
      </c>
    </row>
    <row r="38" customFormat="false" ht="15" hidden="false" customHeight="false" outlineLevel="0" collapsed="false">
      <c r="A38" s="5" t="n">
        <v>37</v>
      </c>
      <c r="B38" s="6" t="s">
        <v>66</v>
      </c>
      <c r="C38" s="6" t="s">
        <v>67</v>
      </c>
      <c r="D38" s="6" t="s">
        <v>68</v>
      </c>
      <c r="E38" s="6" t="s">
        <v>34</v>
      </c>
      <c r="F38" s="7"/>
      <c r="G38" s="5"/>
      <c r="H38" s="5"/>
    </row>
    <row r="39" customFormat="false" ht="15" hidden="false" customHeight="false" outlineLevel="0" collapsed="false">
      <c r="A39" s="5" t="n">
        <v>38</v>
      </c>
      <c r="B39" s="6" t="s">
        <v>66</v>
      </c>
      <c r="C39" s="6" t="s">
        <v>67</v>
      </c>
      <c r="D39" s="6" t="s">
        <v>69</v>
      </c>
      <c r="E39" s="6" t="s">
        <v>13</v>
      </c>
      <c r="F39" s="7"/>
      <c r="G39" s="5"/>
      <c r="H39" s="5"/>
    </row>
    <row r="40" customFormat="false" ht="15" hidden="false" customHeight="false" outlineLevel="0" collapsed="false">
      <c r="A40" s="5" t="n">
        <v>39</v>
      </c>
      <c r="B40" s="6" t="s">
        <v>66</v>
      </c>
      <c r="C40" s="6" t="s">
        <v>67</v>
      </c>
      <c r="D40" s="6" t="s">
        <v>70</v>
      </c>
      <c r="E40" s="6" t="s">
        <v>34</v>
      </c>
      <c r="F40" s="7"/>
      <c r="G40" s="5"/>
      <c r="H40" s="5"/>
    </row>
    <row r="41" customFormat="false" ht="15" hidden="false" customHeight="false" outlineLevel="0" collapsed="false">
      <c r="A41" s="5" t="n">
        <v>40</v>
      </c>
      <c r="B41" s="6" t="s">
        <v>66</v>
      </c>
      <c r="C41" s="6" t="s">
        <v>67</v>
      </c>
      <c r="D41" s="6" t="s">
        <v>71</v>
      </c>
      <c r="E41" s="6" t="s">
        <v>34</v>
      </c>
      <c r="F41" s="7"/>
      <c r="G41" s="5"/>
      <c r="H41" s="5"/>
    </row>
    <row r="42" customFormat="false" ht="15" hidden="false" customHeight="false" outlineLevel="0" collapsed="false">
      <c r="A42" s="2" t="n">
        <v>41</v>
      </c>
      <c r="B42" s="3" t="s">
        <v>66</v>
      </c>
      <c r="C42" s="3" t="s">
        <v>67</v>
      </c>
      <c r="D42" s="3" t="s">
        <v>72</v>
      </c>
      <c r="E42" s="3" t="s">
        <v>13</v>
      </c>
      <c r="F42" s="4" t="s">
        <v>11</v>
      </c>
      <c r="G42" s="3" t="s">
        <v>72</v>
      </c>
      <c r="H42" s="3" t="s">
        <v>73</v>
      </c>
    </row>
    <row r="43" customFormat="false" ht="15" hidden="false" customHeight="false" outlineLevel="0" collapsed="false">
      <c r="A43" s="5" t="n">
        <v>42</v>
      </c>
      <c r="B43" s="6" t="s">
        <v>66</v>
      </c>
      <c r="C43" s="6" t="s">
        <v>74</v>
      </c>
      <c r="D43" s="6" t="s">
        <v>75</v>
      </c>
      <c r="E43" s="6" t="s">
        <v>10</v>
      </c>
      <c r="F43" s="7"/>
      <c r="G43" s="5"/>
      <c r="H43" s="5"/>
    </row>
    <row r="44" customFormat="false" ht="15" hidden="false" customHeight="false" outlineLevel="0" collapsed="false">
      <c r="A44" s="5" t="n">
        <v>43</v>
      </c>
      <c r="B44" s="6" t="s">
        <v>66</v>
      </c>
      <c r="C44" s="6" t="s">
        <v>74</v>
      </c>
      <c r="D44" s="6" t="s">
        <v>76</v>
      </c>
      <c r="E44" s="6" t="s">
        <v>34</v>
      </c>
      <c r="F44" s="7"/>
      <c r="G44" s="5"/>
      <c r="H44" s="5"/>
    </row>
    <row r="45" customFormat="false" ht="15" hidden="false" customHeight="false" outlineLevel="0" collapsed="false">
      <c r="A45" s="5" t="n">
        <v>44</v>
      </c>
      <c r="B45" s="6" t="s">
        <v>66</v>
      </c>
      <c r="C45" s="6" t="s">
        <v>74</v>
      </c>
      <c r="D45" s="6" t="s">
        <v>77</v>
      </c>
      <c r="E45" s="6" t="s">
        <v>34</v>
      </c>
      <c r="F45" s="7"/>
      <c r="G45" s="5"/>
      <c r="H45" s="5"/>
    </row>
    <row r="46" customFormat="false" ht="15" hidden="false" customHeight="false" outlineLevel="0" collapsed="false">
      <c r="A46" s="2" t="n">
        <v>45</v>
      </c>
      <c r="B46" s="3" t="s">
        <v>66</v>
      </c>
      <c r="C46" s="3" t="s">
        <v>74</v>
      </c>
      <c r="D46" s="3" t="s">
        <v>78</v>
      </c>
      <c r="E46" s="3" t="s">
        <v>10</v>
      </c>
      <c r="F46" s="4" t="s">
        <v>11</v>
      </c>
      <c r="G46" s="3" t="s">
        <v>79</v>
      </c>
      <c r="H46" s="3" t="s">
        <v>80</v>
      </c>
    </row>
    <row r="47" customFormat="false" ht="15" hidden="false" customHeight="false" outlineLevel="0" collapsed="false">
      <c r="A47" s="5" t="n">
        <v>46</v>
      </c>
      <c r="B47" s="6" t="s">
        <v>66</v>
      </c>
      <c r="C47" s="6" t="s">
        <v>74</v>
      </c>
      <c r="D47" s="6" t="s">
        <v>81</v>
      </c>
      <c r="E47" s="6" t="s">
        <v>82</v>
      </c>
      <c r="F47" s="7"/>
      <c r="G47" s="5"/>
      <c r="H47" s="5"/>
    </row>
    <row r="48" customFormat="false" ht="15" hidden="false" customHeight="false" outlineLevel="0" collapsed="false">
      <c r="A48" s="5" t="n">
        <v>47</v>
      </c>
      <c r="B48" s="6" t="s">
        <v>66</v>
      </c>
      <c r="C48" s="6" t="s">
        <v>74</v>
      </c>
      <c r="D48" s="6" t="s">
        <v>83</v>
      </c>
      <c r="E48" s="6" t="s">
        <v>34</v>
      </c>
      <c r="F48" s="7"/>
      <c r="G48" s="5"/>
      <c r="H48" s="5"/>
    </row>
    <row r="49" customFormat="false" ht="15" hidden="false" customHeight="false" outlineLevel="0" collapsed="false">
      <c r="A49" s="5" t="n">
        <v>48</v>
      </c>
      <c r="B49" s="6" t="s">
        <v>66</v>
      </c>
      <c r="C49" s="6" t="s">
        <v>74</v>
      </c>
      <c r="D49" s="6" t="s">
        <v>84</v>
      </c>
      <c r="E49" s="6" t="s">
        <v>34</v>
      </c>
      <c r="F49" s="7"/>
      <c r="G49" s="5"/>
      <c r="H49" s="5"/>
    </row>
    <row r="50" customFormat="false" ht="15" hidden="false" customHeight="false" outlineLevel="0" collapsed="false">
      <c r="A50" s="5" t="n">
        <v>49</v>
      </c>
      <c r="B50" s="6" t="s">
        <v>66</v>
      </c>
      <c r="C50" s="6" t="s">
        <v>74</v>
      </c>
      <c r="D50" s="6" t="s">
        <v>85</v>
      </c>
      <c r="E50" s="6" t="s">
        <v>34</v>
      </c>
      <c r="F50" s="7"/>
      <c r="G50" s="5"/>
      <c r="H50" s="5"/>
    </row>
    <row r="51" customFormat="false" ht="15" hidden="false" customHeight="false" outlineLevel="0" collapsed="false">
      <c r="A51" s="5" t="n">
        <v>50</v>
      </c>
      <c r="B51" s="6" t="s">
        <v>66</v>
      </c>
      <c r="C51" s="6" t="s">
        <v>74</v>
      </c>
      <c r="D51" s="6" t="s">
        <v>86</v>
      </c>
      <c r="E51" s="6" t="s">
        <v>34</v>
      </c>
      <c r="F51" s="7"/>
      <c r="G51" s="5"/>
      <c r="H51" s="5"/>
    </row>
    <row r="52" customFormat="false" ht="15" hidden="false" customHeight="false" outlineLevel="0" collapsed="false">
      <c r="A52" s="5" t="n">
        <v>51</v>
      </c>
      <c r="B52" s="6" t="s">
        <v>66</v>
      </c>
      <c r="C52" s="6" t="s">
        <v>74</v>
      </c>
      <c r="D52" s="6" t="s">
        <v>87</v>
      </c>
      <c r="E52" s="6" t="s">
        <v>34</v>
      </c>
      <c r="F52" s="7"/>
      <c r="G52" s="5"/>
      <c r="H52" s="5"/>
    </row>
    <row r="53" customFormat="false" ht="17.15" hidden="false" customHeight="false" outlineLevel="0" collapsed="false">
      <c r="A53" s="2" t="n">
        <v>52</v>
      </c>
      <c r="B53" s="3" t="s">
        <v>66</v>
      </c>
      <c r="C53" s="3" t="s">
        <v>88</v>
      </c>
      <c r="D53" s="3" t="s">
        <v>89</v>
      </c>
      <c r="E53" s="3" t="s">
        <v>10</v>
      </c>
      <c r="F53" s="4" t="s">
        <v>11</v>
      </c>
      <c r="G53" s="3" t="s">
        <v>89</v>
      </c>
      <c r="H53" s="3" t="s">
        <v>90</v>
      </c>
    </row>
    <row r="54" customFormat="false" ht="15" hidden="false" customHeight="false" outlineLevel="0" collapsed="false">
      <c r="A54" s="5" t="n">
        <v>53</v>
      </c>
      <c r="B54" s="6" t="s">
        <v>66</v>
      </c>
      <c r="C54" s="6" t="s">
        <v>88</v>
      </c>
      <c r="D54" s="6" t="s">
        <v>91</v>
      </c>
      <c r="E54" s="6" t="s">
        <v>92</v>
      </c>
      <c r="F54" s="7"/>
      <c r="G54" s="5"/>
      <c r="H54" s="5"/>
    </row>
    <row r="55" customFormat="false" ht="15" hidden="false" customHeight="false" outlineLevel="0" collapsed="false">
      <c r="A55" s="5" t="n">
        <v>54</v>
      </c>
      <c r="B55" s="6" t="s">
        <v>66</v>
      </c>
      <c r="C55" s="6" t="s">
        <v>88</v>
      </c>
      <c r="D55" s="6" t="s">
        <v>93</v>
      </c>
      <c r="E55" s="6" t="s">
        <v>34</v>
      </c>
      <c r="F55" s="7"/>
      <c r="G55" s="5"/>
      <c r="H55" s="5"/>
    </row>
    <row r="56" customFormat="false" ht="15" hidden="false" customHeight="false" outlineLevel="0" collapsed="false">
      <c r="A56" s="5" t="n">
        <v>55</v>
      </c>
      <c r="B56" s="6" t="s">
        <v>66</v>
      </c>
      <c r="C56" s="6" t="s">
        <v>88</v>
      </c>
      <c r="D56" s="6" t="s">
        <v>94</v>
      </c>
      <c r="E56" s="6" t="s">
        <v>34</v>
      </c>
      <c r="F56" s="7"/>
      <c r="G56" s="5"/>
      <c r="H56" s="5"/>
    </row>
    <row r="57" customFormat="false" ht="15" hidden="false" customHeight="false" outlineLevel="0" collapsed="false">
      <c r="A57" s="5" t="n">
        <v>56</v>
      </c>
      <c r="B57" s="6" t="s">
        <v>66</v>
      </c>
      <c r="C57" s="6" t="s">
        <v>88</v>
      </c>
      <c r="D57" s="6" t="s">
        <v>95</v>
      </c>
      <c r="E57" s="6" t="s">
        <v>34</v>
      </c>
      <c r="F57" s="7"/>
      <c r="G57" s="5"/>
      <c r="H57" s="5"/>
    </row>
    <row r="58" customFormat="false" ht="15" hidden="false" customHeight="false" outlineLevel="0" collapsed="false">
      <c r="A58" s="5" t="n">
        <v>57</v>
      </c>
      <c r="B58" s="6" t="s">
        <v>66</v>
      </c>
      <c r="C58" s="6" t="s">
        <v>88</v>
      </c>
      <c r="D58" s="6" t="s">
        <v>96</v>
      </c>
      <c r="E58" s="6" t="s">
        <v>13</v>
      </c>
      <c r="F58" s="7"/>
      <c r="G58" s="5"/>
      <c r="H58" s="5"/>
    </row>
    <row r="59" customFormat="false" ht="15" hidden="false" customHeight="false" outlineLevel="0" collapsed="false">
      <c r="A59" s="5" t="n">
        <v>58</v>
      </c>
      <c r="B59" s="6" t="s">
        <v>66</v>
      </c>
      <c r="C59" s="6" t="s">
        <v>97</v>
      </c>
      <c r="D59" s="6" t="s">
        <v>98</v>
      </c>
      <c r="E59" s="6" t="s">
        <v>34</v>
      </c>
      <c r="F59" s="7"/>
      <c r="G59" s="5"/>
      <c r="H59" s="5"/>
    </row>
    <row r="60" customFormat="false" ht="15" hidden="false" customHeight="false" outlineLevel="0" collapsed="false">
      <c r="A60" s="5" t="n">
        <v>59</v>
      </c>
      <c r="B60" s="6" t="s">
        <v>66</v>
      </c>
      <c r="C60" s="6" t="s">
        <v>97</v>
      </c>
      <c r="D60" s="6" t="s">
        <v>99</v>
      </c>
      <c r="E60" s="6" t="s">
        <v>34</v>
      </c>
      <c r="F60" s="7"/>
      <c r="G60" s="5"/>
      <c r="H60" s="5"/>
    </row>
    <row r="61" customFormat="false" ht="15" hidden="false" customHeight="false" outlineLevel="0" collapsed="false">
      <c r="A61" s="5" t="n">
        <v>60</v>
      </c>
      <c r="B61" s="6" t="s">
        <v>66</v>
      </c>
      <c r="C61" s="6" t="s">
        <v>97</v>
      </c>
      <c r="D61" s="6" t="s">
        <v>100</v>
      </c>
      <c r="E61" s="6" t="s">
        <v>34</v>
      </c>
      <c r="F61" s="7"/>
      <c r="G61" s="5"/>
      <c r="H61" s="5"/>
    </row>
    <row r="62" customFormat="false" ht="15" hidden="false" customHeight="false" outlineLevel="0" collapsed="false">
      <c r="A62" s="5" t="n">
        <v>61</v>
      </c>
      <c r="B62" s="6" t="s">
        <v>66</v>
      </c>
      <c r="C62" s="6" t="s">
        <v>97</v>
      </c>
      <c r="D62" s="6" t="s">
        <v>101</v>
      </c>
      <c r="E62" s="6" t="s">
        <v>34</v>
      </c>
      <c r="F62" s="7"/>
      <c r="G62" s="5"/>
      <c r="H62" s="5"/>
    </row>
    <row r="63" customFormat="false" ht="15" hidden="false" customHeight="false" outlineLevel="0" collapsed="false">
      <c r="A63" s="5" t="n">
        <v>62</v>
      </c>
      <c r="B63" s="6" t="s">
        <v>66</v>
      </c>
      <c r="C63" s="6" t="s">
        <v>97</v>
      </c>
      <c r="D63" s="6" t="s">
        <v>102</v>
      </c>
      <c r="E63" s="6" t="s">
        <v>34</v>
      </c>
      <c r="F63" s="7"/>
      <c r="G63" s="5"/>
      <c r="H63" s="5"/>
    </row>
    <row r="64" customFormat="false" ht="15" hidden="false" customHeight="false" outlineLevel="0" collapsed="false">
      <c r="A64" s="2" t="n">
        <v>63</v>
      </c>
      <c r="B64" s="3" t="s">
        <v>66</v>
      </c>
      <c r="C64" s="3" t="s">
        <v>103</v>
      </c>
      <c r="D64" s="3" t="s">
        <v>104</v>
      </c>
      <c r="E64" s="3" t="s">
        <v>10</v>
      </c>
      <c r="F64" s="4" t="s">
        <v>11</v>
      </c>
      <c r="G64" s="3" t="s">
        <v>105</v>
      </c>
      <c r="H64" s="2"/>
    </row>
    <row r="65" customFormat="false" ht="15" hidden="false" customHeight="false" outlineLevel="0" collapsed="false">
      <c r="A65" s="2" t="n">
        <v>64</v>
      </c>
      <c r="B65" s="3" t="s">
        <v>66</v>
      </c>
      <c r="C65" s="3" t="s">
        <v>103</v>
      </c>
      <c r="D65" s="3" t="s">
        <v>106</v>
      </c>
      <c r="E65" s="3" t="s">
        <v>10</v>
      </c>
      <c r="F65" s="4" t="s">
        <v>11</v>
      </c>
      <c r="G65" s="3" t="s">
        <v>106</v>
      </c>
      <c r="H65" s="2"/>
    </row>
    <row r="66" customFormat="false" ht="15" hidden="false" customHeight="false" outlineLevel="0" collapsed="false">
      <c r="A66" s="5" t="n">
        <v>65</v>
      </c>
      <c r="B66" s="6" t="s">
        <v>66</v>
      </c>
      <c r="C66" s="6" t="s">
        <v>103</v>
      </c>
      <c r="D66" s="6" t="s">
        <v>107</v>
      </c>
      <c r="E66" s="6" t="s">
        <v>10</v>
      </c>
      <c r="F66" s="7"/>
      <c r="G66" s="5"/>
      <c r="H66" s="6" t="s">
        <v>108</v>
      </c>
    </row>
    <row r="67" customFormat="false" ht="15" hidden="false" customHeight="false" outlineLevel="0" collapsed="false">
      <c r="A67" s="2" t="n">
        <v>66</v>
      </c>
      <c r="B67" s="3" t="s">
        <v>66</v>
      </c>
      <c r="C67" s="3" t="s">
        <v>103</v>
      </c>
      <c r="D67" s="3" t="s">
        <v>109</v>
      </c>
      <c r="E67" s="3" t="s">
        <v>10</v>
      </c>
      <c r="F67" s="4" t="s">
        <v>11</v>
      </c>
      <c r="G67" s="3" t="s">
        <v>109</v>
      </c>
      <c r="H67" s="3" t="s">
        <v>110</v>
      </c>
    </row>
    <row r="68" customFormat="false" ht="15" hidden="false" customHeight="false" outlineLevel="0" collapsed="false">
      <c r="A68" s="5" t="n">
        <v>67</v>
      </c>
      <c r="B68" s="6" t="s">
        <v>66</v>
      </c>
      <c r="C68" s="6" t="s">
        <v>111</v>
      </c>
      <c r="D68" s="6" t="s">
        <v>112</v>
      </c>
      <c r="E68" s="6" t="s">
        <v>34</v>
      </c>
      <c r="F68" s="7"/>
      <c r="G68" s="5"/>
      <c r="H68" s="5"/>
    </row>
    <row r="69" customFormat="false" ht="15" hidden="false" customHeight="false" outlineLevel="0" collapsed="false">
      <c r="A69" s="5" t="n">
        <v>68</v>
      </c>
      <c r="B69" s="6" t="s">
        <v>66</v>
      </c>
      <c r="C69" s="6" t="s">
        <v>111</v>
      </c>
      <c r="D69" s="6" t="s">
        <v>113</v>
      </c>
      <c r="E69" s="6" t="s">
        <v>34</v>
      </c>
      <c r="F69" s="7"/>
      <c r="G69" s="5"/>
      <c r="H69" s="5"/>
    </row>
    <row r="70" customFormat="false" ht="15" hidden="false" customHeight="false" outlineLevel="0" collapsed="false">
      <c r="A70" s="5" t="n">
        <v>69</v>
      </c>
      <c r="B70" s="6" t="s">
        <v>66</v>
      </c>
      <c r="C70" s="6" t="s">
        <v>111</v>
      </c>
      <c r="D70" s="6" t="s">
        <v>114</v>
      </c>
      <c r="E70" s="6" t="s">
        <v>13</v>
      </c>
      <c r="F70" s="7"/>
      <c r="G70" s="5"/>
      <c r="H70" s="5"/>
    </row>
    <row r="71" customFormat="false" ht="15" hidden="false" customHeight="false" outlineLevel="0" collapsed="false">
      <c r="A71" s="2" t="n">
        <v>70</v>
      </c>
      <c r="B71" s="3" t="s">
        <v>115</v>
      </c>
      <c r="C71" s="3" t="s">
        <v>116</v>
      </c>
      <c r="D71" s="3" t="s">
        <v>117</v>
      </c>
      <c r="E71" s="3" t="s">
        <v>10</v>
      </c>
      <c r="F71" s="4" t="s">
        <v>11</v>
      </c>
      <c r="G71" s="3" t="s">
        <v>117</v>
      </c>
      <c r="H71" s="2"/>
    </row>
    <row r="72" customFormat="false" ht="15" hidden="false" customHeight="false" outlineLevel="0" collapsed="false">
      <c r="A72" s="5" t="n">
        <v>71</v>
      </c>
      <c r="B72" s="6" t="s">
        <v>115</v>
      </c>
      <c r="C72" s="6" t="s">
        <v>116</v>
      </c>
      <c r="D72" s="6" t="s">
        <v>118</v>
      </c>
      <c r="E72" s="6" t="s">
        <v>34</v>
      </c>
      <c r="F72" s="7"/>
      <c r="G72" s="5"/>
      <c r="H72" s="5"/>
    </row>
    <row r="73" customFormat="false" ht="15" hidden="false" customHeight="false" outlineLevel="0" collapsed="false">
      <c r="A73" s="5" t="n">
        <v>72</v>
      </c>
      <c r="B73" s="6" t="s">
        <v>115</v>
      </c>
      <c r="C73" s="6" t="s">
        <v>116</v>
      </c>
      <c r="D73" s="6" t="s">
        <v>119</v>
      </c>
      <c r="E73" s="6" t="s">
        <v>13</v>
      </c>
      <c r="F73" s="7"/>
      <c r="G73" s="5"/>
      <c r="H73" s="5"/>
    </row>
    <row r="74" customFormat="false" ht="15" hidden="false" customHeight="false" outlineLevel="0" collapsed="false">
      <c r="A74" s="5" t="n">
        <v>73</v>
      </c>
      <c r="B74" s="6" t="s">
        <v>115</v>
      </c>
      <c r="C74" s="6" t="s">
        <v>116</v>
      </c>
      <c r="D74" s="6" t="s">
        <v>120</v>
      </c>
      <c r="E74" s="6" t="s">
        <v>34</v>
      </c>
      <c r="F74" s="7"/>
      <c r="G74" s="5"/>
      <c r="H74" s="5"/>
    </row>
    <row r="75" customFormat="false" ht="15" hidden="false" customHeight="false" outlineLevel="0" collapsed="false">
      <c r="A75" s="5" t="n">
        <v>74</v>
      </c>
      <c r="B75" s="6" t="s">
        <v>115</v>
      </c>
      <c r="C75" s="6" t="s">
        <v>116</v>
      </c>
      <c r="D75" s="6" t="s">
        <v>121</v>
      </c>
      <c r="E75" s="6" t="s">
        <v>34</v>
      </c>
      <c r="F75" s="7"/>
      <c r="G75" s="5"/>
      <c r="H75" s="5"/>
    </row>
    <row r="76" customFormat="false" ht="15" hidden="false" customHeight="false" outlineLevel="0" collapsed="false">
      <c r="A76" s="5" t="n">
        <v>75</v>
      </c>
      <c r="B76" s="6" t="s">
        <v>115</v>
      </c>
      <c r="C76" s="6" t="s">
        <v>116</v>
      </c>
      <c r="D76" s="6" t="s">
        <v>122</v>
      </c>
      <c r="E76" s="6" t="s">
        <v>34</v>
      </c>
      <c r="F76" s="7"/>
      <c r="G76" s="5"/>
      <c r="H76" s="5"/>
    </row>
    <row r="77" customFormat="false" ht="15" hidden="false" customHeight="false" outlineLevel="0" collapsed="false">
      <c r="A77" s="5" t="n">
        <v>76</v>
      </c>
      <c r="B77" s="6" t="s">
        <v>115</v>
      </c>
      <c r="C77" s="6" t="s">
        <v>123</v>
      </c>
      <c r="D77" s="6" t="s">
        <v>124</v>
      </c>
      <c r="E77" s="6" t="s">
        <v>13</v>
      </c>
      <c r="F77" s="7"/>
      <c r="G77" s="5"/>
      <c r="H77" s="5"/>
    </row>
    <row r="78" customFormat="false" ht="15" hidden="false" customHeight="false" outlineLevel="0" collapsed="false">
      <c r="A78" s="5" t="n">
        <v>77</v>
      </c>
      <c r="B78" s="6" t="s">
        <v>115</v>
      </c>
      <c r="C78" s="6" t="s">
        <v>123</v>
      </c>
      <c r="D78" s="6" t="s">
        <v>125</v>
      </c>
      <c r="E78" s="6" t="s">
        <v>13</v>
      </c>
      <c r="F78" s="7"/>
      <c r="G78" s="5"/>
      <c r="H78" s="5"/>
    </row>
    <row r="79" customFormat="false" ht="15" hidden="false" customHeight="false" outlineLevel="0" collapsed="false">
      <c r="A79" s="5" t="n">
        <v>78</v>
      </c>
      <c r="B79" s="6" t="s">
        <v>115</v>
      </c>
      <c r="C79" s="6" t="s">
        <v>123</v>
      </c>
      <c r="D79" s="6" t="s">
        <v>126</v>
      </c>
      <c r="E79" s="6" t="s">
        <v>13</v>
      </c>
      <c r="F79" s="7"/>
      <c r="G79" s="5"/>
      <c r="H79" s="5"/>
    </row>
    <row r="80" customFormat="false" ht="15" hidden="false" customHeight="false" outlineLevel="0" collapsed="false">
      <c r="A80" s="5" t="n">
        <v>79</v>
      </c>
      <c r="B80" s="6" t="s">
        <v>115</v>
      </c>
      <c r="C80" s="6" t="s">
        <v>123</v>
      </c>
      <c r="D80" s="6" t="s">
        <v>127</v>
      </c>
      <c r="E80" s="6" t="s">
        <v>34</v>
      </c>
      <c r="F80" s="7"/>
      <c r="G80" s="5"/>
      <c r="H80" s="5"/>
    </row>
    <row r="81" customFormat="false" ht="15" hidden="false" customHeight="false" outlineLevel="0" collapsed="false">
      <c r="A81" s="5" t="n">
        <v>80</v>
      </c>
      <c r="B81" s="6" t="s">
        <v>115</v>
      </c>
      <c r="C81" s="6" t="s">
        <v>123</v>
      </c>
      <c r="D81" s="6" t="s">
        <v>128</v>
      </c>
      <c r="E81" s="6" t="s">
        <v>13</v>
      </c>
      <c r="F81" s="7"/>
      <c r="G81" s="5"/>
      <c r="H81" s="5"/>
    </row>
    <row r="82" customFormat="false" ht="15" hidden="false" customHeight="false" outlineLevel="0" collapsed="false">
      <c r="A82" s="5" t="n">
        <v>81</v>
      </c>
      <c r="B82" s="6" t="s">
        <v>115</v>
      </c>
      <c r="C82" s="6" t="s">
        <v>123</v>
      </c>
      <c r="D82" s="6" t="s">
        <v>129</v>
      </c>
      <c r="E82" s="6" t="s">
        <v>13</v>
      </c>
      <c r="F82" s="7"/>
      <c r="G82" s="5"/>
      <c r="H82" s="5"/>
    </row>
    <row r="83" customFormat="false" ht="15" hidden="false" customHeight="false" outlineLevel="0" collapsed="false">
      <c r="A83" s="5" t="n">
        <v>82</v>
      </c>
      <c r="B83" s="6" t="s">
        <v>115</v>
      </c>
      <c r="C83" s="6" t="s">
        <v>123</v>
      </c>
      <c r="D83" s="6" t="s">
        <v>130</v>
      </c>
      <c r="E83" s="6" t="s">
        <v>13</v>
      </c>
      <c r="F83" s="7"/>
      <c r="G83" s="5"/>
      <c r="H83" s="5"/>
    </row>
    <row r="84" customFormat="false" ht="15" hidden="false" customHeight="false" outlineLevel="0" collapsed="false">
      <c r="A84" s="5" t="n">
        <v>83</v>
      </c>
      <c r="B84" s="6" t="s">
        <v>115</v>
      </c>
      <c r="C84" s="6" t="s">
        <v>123</v>
      </c>
      <c r="D84" s="6" t="s">
        <v>131</v>
      </c>
      <c r="E84" s="6" t="s">
        <v>92</v>
      </c>
      <c r="F84" s="7"/>
      <c r="G84" s="5"/>
      <c r="H84" s="5"/>
    </row>
    <row r="85" customFormat="false" ht="15" hidden="false" customHeight="false" outlineLevel="0" collapsed="false">
      <c r="A85" s="5" t="n">
        <v>84</v>
      </c>
      <c r="B85" s="6" t="s">
        <v>115</v>
      </c>
      <c r="C85" s="6" t="s">
        <v>132</v>
      </c>
      <c r="D85" s="6" t="s">
        <v>133</v>
      </c>
      <c r="E85" s="6" t="s">
        <v>13</v>
      </c>
      <c r="F85" s="7"/>
      <c r="G85" s="5"/>
      <c r="H85" s="5"/>
    </row>
    <row r="86" customFormat="false" ht="15" hidden="false" customHeight="false" outlineLevel="0" collapsed="false">
      <c r="A86" s="5" t="n">
        <v>85</v>
      </c>
      <c r="B86" s="6" t="s">
        <v>115</v>
      </c>
      <c r="C86" s="6" t="s">
        <v>132</v>
      </c>
      <c r="D86" s="6" t="s">
        <v>134</v>
      </c>
      <c r="E86" s="6" t="s">
        <v>92</v>
      </c>
      <c r="F86" s="7"/>
      <c r="G86" s="5"/>
      <c r="H86" s="6" t="s">
        <v>135</v>
      </c>
    </row>
    <row r="87" customFormat="false" ht="15" hidden="false" customHeight="false" outlineLevel="0" collapsed="false">
      <c r="A87" s="5" t="n">
        <v>86</v>
      </c>
      <c r="B87" s="6" t="s">
        <v>115</v>
      </c>
      <c r="C87" s="6" t="s">
        <v>132</v>
      </c>
      <c r="D87" s="6" t="s">
        <v>136</v>
      </c>
      <c r="E87" s="6" t="s">
        <v>13</v>
      </c>
      <c r="F87" s="7"/>
      <c r="G87" s="5"/>
      <c r="H87" s="5"/>
    </row>
    <row r="88" customFormat="false" ht="15" hidden="false" customHeight="false" outlineLevel="0" collapsed="false">
      <c r="A88" s="2" t="n">
        <v>87</v>
      </c>
      <c r="B88" s="3" t="s">
        <v>115</v>
      </c>
      <c r="C88" s="3" t="s">
        <v>132</v>
      </c>
      <c r="D88" s="3" t="s">
        <v>137</v>
      </c>
      <c r="E88" s="3" t="s">
        <v>34</v>
      </c>
      <c r="F88" s="4" t="s">
        <v>11</v>
      </c>
      <c r="G88" s="3" t="s">
        <v>137</v>
      </c>
      <c r="H88" s="3" t="s">
        <v>138</v>
      </c>
    </row>
    <row r="89" customFormat="false" ht="15" hidden="false" customHeight="false" outlineLevel="0" collapsed="false">
      <c r="A89" s="5" t="n">
        <v>88</v>
      </c>
      <c r="B89" s="6" t="s">
        <v>115</v>
      </c>
      <c r="C89" s="6" t="s">
        <v>139</v>
      </c>
      <c r="D89" s="6" t="s">
        <v>140</v>
      </c>
      <c r="E89" s="6" t="s">
        <v>13</v>
      </c>
      <c r="F89" s="7"/>
      <c r="G89" s="5"/>
      <c r="H89" s="5"/>
    </row>
    <row r="90" customFormat="false" ht="15" hidden="false" customHeight="false" outlineLevel="0" collapsed="false">
      <c r="A90" s="5" t="n">
        <v>89</v>
      </c>
      <c r="B90" s="6" t="s">
        <v>115</v>
      </c>
      <c r="C90" s="6" t="s">
        <v>139</v>
      </c>
      <c r="D90" s="6" t="s">
        <v>141</v>
      </c>
      <c r="E90" s="6" t="s">
        <v>34</v>
      </c>
      <c r="F90" s="7"/>
      <c r="G90" s="5"/>
      <c r="H90" s="5"/>
    </row>
    <row r="91" customFormat="false" ht="15" hidden="false" customHeight="false" outlineLevel="0" collapsed="false">
      <c r="A91" s="5" t="n">
        <v>90</v>
      </c>
      <c r="B91" s="6" t="s">
        <v>115</v>
      </c>
      <c r="C91" s="6" t="s">
        <v>139</v>
      </c>
      <c r="D91" s="6" t="s">
        <v>142</v>
      </c>
      <c r="E91" s="6" t="s">
        <v>92</v>
      </c>
      <c r="F91" s="7"/>
      <c r="G91" s="5"/>
      <c r="H91" s="5"/>
    </row>
    <row r="92" customFormat="false" ht="15" hidden="false" customHeight="false" outlineLevel="0" collapsed="false">
      <c r="A92" s="5" t="n">
        <v>91</v>
      </c>
      <c r="B92" s="6" t="s">
        <v>115</v>
      </c>
      <c r="C92" s="6" t="s">
        <v>143</v>
      </c>
      <c r="D92" s="6" t="s">
        <v>144</v>
      </c>
      <c r="E92" s="6" t="s">
        <v>13</v>
      </c>
      <c r="F92" s="7"/>
      <c r="G92" s="5"/>
      <c r="H92" s="5"/>
    </row>
    <row r="93" customFormat="false" ht="15" hidden="false" customHeight="false" outlineLevel="0" collapsed="false">
      <c r="A93" s="5" t="n">
        <v>92</v>
      </c>
      <c r="B93" s="6" t="s">
        <v>115</v>
      </c>
      <c r="C93" s="6" t="s">
        <v>143</v>
      </c>
      <c r="D93" s="6" t="s">
        <v>145</v>
      </c>
      <c r="E93" s="6" t="s">
        <v>13</v>
      </c>
      <c r="F93" s="7"/>
      <c r="G93" s="5"/>
      <c r="H93" s="5"/>
    </row>
    <row r="94" customFormat="false" ht="15" hidden="false" customHeight="false" outlineLevel="0" collapsed="false">
      <c r="A94" s="5" t="n">
        <v>93</v>
      </c>
      <c r="B94" s="6" t="s">
        <v>115</v>
      </c>
      <c r="C94" s="6" t="s">
        <v>143</v>
      </c>
      <c r="D94" s="6" t="s">
        <v>146</v>
      </c>
      <c r="E94" s="6" t="s">
        <v>13</v>
      </c>
      <c r="F94" s="7"/>
      <c r="G94" s="5"/>
      <c r="H94" s="5"/>
    </row>
    <row r="95" customFormat="false" ht="15" hidden="false" customHeight="false" outlineLevel="0" collapsed="false">
      <c r="A95" s="5" t="n">
        <v>94</v>
      </c>
      <c r="B95" s="6" t="s">
        <v>115</v>
      </c>
      <c r="C95" s="6" t="s">
        <v>143</v>
      </c>
      <c r="D95" s="6" t="s">
        <v>147</v>
      </c>
      <c r="E95" s="6" t="s">
        <v>34</v>
      </c>
      <c r="F95" s="7"/>
      <c r="G95" s="5"/>
      <c r="H95" s="5"/>
    </row>
    <row r="96" customFormat="false" ht="15" hidden="false" customHeight="false" outlineLevel="0" collapsed="false">
      <c r="A96" s="5" t="n">
        <v>95</v>
      </c>
      <c r="B96" s="6" t="s">
        <v>115</v>
      </c>
      <c r="C96" s="6" t="s">
        <v>143</v>
      </c>
      <c r="D96" s="6" t="s">
        <v>148</v>
      </c>
      <c r="E96" s="6" t="s">
        <v>34</v>
      </c>
      <c r="F96" s="7"/>
      <c r="G96" s="5"/>
      <c r="H96" s="5"/>
    </row>
    <row r="97" customFormat="false" ht="15" hidden="false" customHeight="false" outlineLevel="0" collapsed="false">
      <c r="A97" s="5" t="n">
        <v>96</v>
      </c>
      <c r="B97" s="6" t="s">
        <v>115</v>
      </c>
      <c r="C97" s="6" t="s">
        <v>143</v>
      </c>
      <c r="D97" s="6" t="s">
        <v>149</v>
      </c>
      <c r="E97" s="6" t="s">
        <v>34</v>
      </c>
      <c r="F97" s="7"/>
      <c r="G97" s="5"/>
      <c r="H97" s="5"/>
    </row>
    <row r="98" customFormat="false" ht="15" hidden="false" customHeight="false" outlineLevel="0" collapsed="false">
      <c r="A98" s="5" t="n">
        <v>97</v>
      </c>
      <c r="B98" s="6" t="s">
        <v>115</v>
      </c>
      <c r="C98" s="6" t="s">
        <v>150</v>
      </c>
      <c r="D98" s="6" t="s">
        <v>151</v>
      </c>
      <c r="E98" s="6" t="s">
        <v>34</v>
      </c>
      <c r="F98" s="7"/>
      <c r="G98" s="5"/>
      <c r="H98" s="5"/>
    </row>
    <row r="99" customFormat="false" ht="15" hidden="false" customHeight="false" outlineLevel="0" collapsed="false">
      <c r="A99" s="5" t="n">
        <v>98</v>
      </c>
      <c r="B99" s="6" t="s">
        <v>115</v>
      </c>
      <c r="C99" s="6" t="s">
        <v>150</v>
      </c>
      <c r="D99" s="6" t="s">
        <v>152</v>
      </c>
      <c r="E99" s="6" t="s">
        <v>34</v>
      </c>
      <c r="F99" s="7"/>
      <c r="G99" s="5"/>
      <c r="H99" s="5"/>
    </row>
    <row r="100" customFormat="false" ht="15" hidden="false" customHeight="false" outlineLevel="0" collapsed="false">
      <c r="A100" s="5" t="n">
        <v>99</v>
      </c>
      <c r="B100" s="6" t="s">
        <v>115</v>
      </c>
      <c r="C100" s="6" t="s">
        <v>150</v>
      </c>
      <c r="D100" s="6" t="s">
        <v>153</v>
      </c>
      <c r="E100" s="6" t="s">
        <v>10</v>
      </c>
      <c r="F100" s="7"/>
      <c r="G100" s="5"/>
      <c r="H100" s="5"/>
    </row>
    <row r="101" customFormat="false" ht="15" hidden="false" customHeight="false" outlineLevel="0" collapsed="false">
      <c r="A101" s="5" t="n">
        <v>100</v>
      </c>
      <c r="B101" s="6" t="s">
        <v>115</v>
      </c>
      <c r="C101" s="6" t="s">
        <v>154</v>
      </c>
      <c r="D101" s="6" t="s">
        <v>155</v>
      </c>
      <c r="E101" s="6" t="s">
        <v>34</v>
      </c>
      <c r="F101" s="7"/>
      <c r="G101" s="5"/>
      <c r="H101" s="5"/>
    </row>
    <row r="102" customFormat="false" ht="15" hidden="false" customHeight="false" outlineLevel="0" collapsed="false">
      <c r="A102" s="5" t="n">
        <v>101</v>
      </c>
      <c r="B102" s="6" t="s">
        <v>115</v>
      </c>
      <c r="C102" s="6" t="s">
        <v>154</v>
      </c>
      <c r="D102" s="6" t="s">
        <v>156</v>
      </c>
      <c r="E102" s="6" t="s">
        <v>34</v>
      </c>
      <c r="F102" s="7"/>
      <c r="G102" s="5"/>
      <c r="H102" s="5"/>
    </row>
    <row r="103" customFormat="false" ht="15" hidden="false" customHeight="false" outlineLevel="0" collapsed="false">
      <c r="A103" s="5" t="n">
        <v>102</v>
      </c>
      <c r="B103" s="6" t="s">
        <v>115</v>
      </c>
      <c r="C103" s="6" t="s">
        <v>154</v>
      </c>
      <c r="D103" s="6" t="s">
        <v>157</v>
      </c>
      <c r="E103" s="6" t="s">
        <v>34</v>
      </c>
      <c r="F103" s="7"/>
      <c r="G103" s="5"/>
      <c r="H103" s="5"/>
    </row>
    <row r="104" customFormat="false" ht="15" hidden="false" customHeight="false" outlineLevel="0" collapsed="false">
      <c r="A104" s="5" t="n">
        <v>103</v>
      </c>
      <c r="B104" s="6" t="s">
        <v>115</v>
      </c>
      <c r="C104" s="6" t="s">
        <v>154</v>
      </c>
      <c r="D104" s="6" t="s">
        <v>158</v>
      </c>
      <c r="E104" s="6" t="s">
        <v>62</v>
      </c>
      <c r="F104" s="7"/>
      <c r="G104" s="5"/>
      <c r="H104" s="5"/>
    </row>
    <row r="105" customFormat="false" ht="15" hidden="false" customHeight="false" outlineLevel="0" collapsed="false">
      <c r="A105" s="5" t="n">
        <v>104</v>
      </c>
      <c r="B105" s="6" t="s">
        <v>115</v>
      </c>
      <c r="C105" s="6" t="s">
        <v>154</v>
      </c>
      <c r="D105" s="6" t="s">
        <v>159</v>
      </c>
      <c r="E105" s="6" t="s">
        <v>62</v>
      </c>
      <c r="F105" s="7"/>
      <c r="G105" s="5"/>
      <c r="H105" s="5"/>
    </row>
    <row r="106" customFormat="false" ht="15" hidden="false" customHeight="false" outlineLevel="0" collapsed="false">
      <c r="A106" s="5" t="n">
        <v>105</v>
      </c>
      <c r="B106" s="6" t="s">
        <v>115</v>
      </c>
      <c r="C106" s="6" t="s">
        <v>154</v>
      </c>
      <c r="D106" s="6" t="s">
        <v>160</v>
      </c>
      <c r="E106" s="6" t="s">
        <v>62</v>
      </c>
      <c r="F106" s="7"/>
      <c r="G106" s="5"/>
      <c r="H106" s="5"/>
    </row>
    <row r="107" customFormat="false" ht="15" hidden="false" customHeight="false" outlineLevel="0" collapsed="false">
      <c r="A107" s="5" t="n">
        <v>106</v>
      </c>
      <c r="B107" s="6" t="s">
        <v>115</v>
      </c>
      <c r="C107" s="6" t="s">
        <v>154</v>
      </c>
      <c r="D107" s="6" t="s">
        <v>161</v>
      </c>
      <c r="E107" s="6" t="s">
        <v>13</v>
      </c>
      <c r="F107" s="7"/>
      <c r="G107" s="5"/>
      <c r="H107" s="5"/>
    </row>
    <row r="108" customFormat="false" ht="15" hidden="false" customHeight="false" outlineLevel="0" collapsed="false">
      <c r="A108" s="5" t="n">
        <v>107</v>
      </c>
      <c r="B108" s="6" t="s">
        <v>115</v>
      </c>
      <c r="C108" s="6" t="s">
        <v>154</v>
      </c>
      <c r="D108" s="6" t="s">
        <v>162</v>
      </c>
      <c r="E108" s="6" t="s">
        <v>62</v>
      </c>
      <c r="F108" s="7"/>
      <c r="G108" s="5"/>
      <c r="H108" s="5"/>
    </row>
    <row r="109" customFormat="false" ht="15" hidden="false" customHeight="false" outlineLevel="0" collapsed="false">
      <c r="A109" s="5" t="n">
        <v>108</v>
      </c>
      <c r="B109" s="6" t="s">
        <v>115</v>
      </c>
      <c r="C109" s="6" t="s">
        <v>154</v>
      </c>
      <c r="D109" s="6" t="s">
        <v>163</v>
      </c>
      <c r="E109" s="6" t="s">
        <v>13</v>
      </c>
      <c r="F109" s="7"/>
      <c r="G109" s="5"/>
      <c r="H109" s="5"/>
    </row>
    <row r="110" customFormat="false" ht="15" hidden="false" customHeight="false" outlineLevel="0" collapsed="false">
      <c r="A110" s="5" t="n">
        <v>109</v>
      </c>
      <c r="B110" s="6" t="s">
        <v>115</v>
      </c>
      <c r="C110" s="6" t="s">
        <v>154</v>
      </c>
      <c r="D110" s="6" t="s">
        <v>164</v>
      </c>
      <c r="E110" s="6" t="s">
        <v>62</v>
      </c>
      <c r="F110" s="7"/>
      <c r="G110" s="5"/>
      <c r="H110" s="5"/>
    </row>
    <row r="111" customFormat="false" ht="15" hidden="false" customHeight="false" outlineLevel="0" collapsed="false">
      <c r="A111" s="5" t="n">
        <v>110</v>
      </c>
      <c r="B111" s="6" t="s">
        <v>165</v>
      </c>
      <c r="C111" s="6" t="s">
        <v>166</v>
      </c>
      <c r="D111" s="6" t="s">
        <v>167</v>
      </c>
      <c r="E111" s="6" t="s">
        <v>13</v>
      </c>
      <c r="F111" s="7"/>
      <c r="G111" s="5"/>
      <c r="H111" s="5"/>
    </row>
    <row r="112" customFormat="false" ht="15" hidden="false" customHeight="false" outlineLevel="0" collapsed="false">
      <c r="A112" s="5" t="n">
        <v>111</v>
      </c>
      <c r="B112" s="6" t="s">
        <v>165</v>
      </c>
      <c r="C112" s="6" t="s">
        <v>166</v>
      </c>
      <c r="D112" s="6" t="s">
        <v>168</v>
      </c>
      <c r="E112" s="6" t="s">
        <v>34</v>
      </c>
      <c r="F112" s="7"/>
      <c r="G112" s="5"/>
      <c r="H112" s="5"/>
    </row>
    <row r="113" customFormat="false" ht="15" hidden="false" customHeight="false" outlineLevel="0" collapsed="false">
      <c r="A113" s="5" t="n">
        <v>112</v>
      </c>
      <c r="B113" s="6" t="s">
        <v>165</v>
      </c>
      <c r="C113" s="6" t="s">
        <v>166</v>
      </c>
      <c r="D113" s="6" t="s">
        <v>169</v>
      </c>
      <c r="E113" s="6" t="s">
        <v>34</v>
      </c>
      <c r="F113" s="7"/>
      <c r="G113" s="5"/>
      <c r="H113" s="5"/>
    </row>
    <row r="114" customFormat="false" ht="15" hidden="false" customHeight="false" outlineLevel="0" collapsed="false">
      <c r="A114" s="5" t="n">
        <v>113</v>
      </c>
      <c r="B114" s="6" t="s">
        <v>165</v>
      </c>
      <c r="C114" s="6" t="s">
        <v>170</v>
      </c>
      <c r="D114" s="6" t="s">
        <v>171</v>
      </c>
      <c r="E114" s="6" t="s">
        <v>13</v>
      </c>
      <c r="F114" s="7"/>
      <c r="G114" s="5"/>
      <c r="H114" s="5"/>
    </row>
    <row r="115" customFormat="false" ht="15" hidden="false" customHeight="false" outlineLevel="0" collapsed="false">
      <c r="A115" s="5" t="n">
        <v>114</v>
      </c>
      <c r="B115" s="6" t="s">
        <v>165</v>
      </c>
      <c r="C115" s="6" t="s">
        <v>170</v>
      </c>
      <c r="D115" s="6" t="s">
        <v>172</v>
      </c>
      <c r="E115" s="6" t="s">
        <v>34</v>
      </c>
      <c r="F115" s="7"/>
      <c r="G115" s="5"/>
      <c r="H115" s="5"/>
    </row>
    <row r="116" customFormat="false" ht="15" hidden="false" customHeight="false" outlineLevel="0" collapsed="false">
      <c r="A116" s="5" t="n">
        <v>115</v>
      </c>
      <c r="B116" s="6" t="s">
        <v>165</v>
      </c>
      <c r="C116" s="6" t="s">
        <v>170</v>
      </c>
      <c r="D116" s="6" t="s">
        <v>173</v>
      </c>
      <c r="E116" s="6" t="s">
        <v>34</v>
      </c>
      <c r="F116" s="7"/>
      <c r="G116" s="5"/>
      <c r="H116" s="5"/>
    </row>
    <row r="117" customFormat="false" ht="15" hidden="false" customHeight="false" outlineLevel="0" collapsed="false">
      <c r="A117" s="5" t="n">
        <v>116</v>
      </c>
      <c r="B117" s="6" t="s">
        <v>165</v>
      </c>
      <c r="C117" s="6" t="s">
        <v>174</v>
      </c>
      <c r="D117" s="6" t="s">
        <v>175</v>
      </c>
      <c r="E117" s="6" t="s">
        <v>34</v>
      </c>
      <c r="F117" s="7"/>
      <c r="G117" s="5"/>
      <c r="H117" s="5"/>
    </row>
    <row r="118" customFormat="false" ht="15" hidden="false" customHeight="false" outlineLevel="0" collapsed="false">
      <c r="A118" s="5" t="n">
        <v>117</v>
      </c>
      <c r="B118" s="6" t="s">
        <v>165</v>
      </c>
      <c r="C118" s="6" t="s">
        <v>176</v>
      </c>
      <c r="D118" s="6" t="s">
        <v>177</v>
      </c>
      <c r="E118" s="6" t="s">
        <v>34</v>
      </c>
      <c r="F118" s="7"/>
      <c r="G118" s="5"/>
      <c r="H118" s="5"/>
    </row>
    <row r="119" customFormat="false" ht="15" hidden="false" customHeight="false" outlineLevel="0" collapsed="false">
      <c r="A119" s="5" t="n">
        <v>118</v>
      </c>
      <c r="B119" s="6" t="s">
        <v>165</v>
      </c>
      <c r="C119" s="6" t="s">
        <v>178</v>
      </c>
      <c r="D119" s="6" t="s">
        <v>179</v>
      </c>
      <c r="E119" s="6" t="s">
        <v>34</v>
      </c>
      <c r="F119" s="7"/>
      <c r="G119" s="5"/>
      <c r="H119" s="5"/>
    </row>
    <row r="120" customFormat="false" ht="15" hidden="false" customHeight="false" outlineLevel="0" collapsed="false">
      <c r="A120" s="5" t="n">
        <v>119</v>
      </c>
      <c r="B120" s="6" t="s">
        <v>165</v>
      </c>
      <c r="C120" s="6" t="s">
        <v>178</v>
      </c>
      <c r="D120" s="6" t="s">
        <v>180</v>
      </c>
      <c r="E120" s="6" t="s">
        <v>13</v>
      </c>
      <c r="F120" s="7"/>
      <c r="G120" s="5"/>
      <c r="H120" s="5"/>
    </row>
    <row r="121" customFormat="false" ht="15" hidden="false" customHeight="false" outlineLevel="0" collapsed="false">
      <c r="A121" s="5" t="n">
        <v>120</v>
      </c>
      <c r="B121" s="6" t="s">
        <v>165</v>
      </c>
      <c r="C121" s="6" t="s">
        <v>178</v>
      </c>
      <c r="D121" s="6" t="s">
        <v>181</v>
      </c>
      <c r="E121" s="6" t="s">
        <v>34</v>
      </c>
      <c r="F121" s="7"/>
      <c r="G121" s="5"/>
      <c r="H121" s="6" t="s">
        <v>182</v>
      </c>
    </row>
    <row r="122" customFormat="false" ht="15" hidden="false" customHeight="false" outlineLevel="0" collapsed="false">
      <c r="A122" s="5" t="n">
        <v>121</v>
      </c>
      <c r="B122" s="6" t="s">
        <v>165</v>
      </c>
      <c r="C122" s="6" t="s">
        <v>178</v>
      </c>
      <c r="D122" s="6" t="s">
        <v>183</v>
      </c>
      <c r="E122" s="6" t="s">
        <v>34</v>
      </c>
      <c r="F122" s="7"/>
      <c r="G122" s="5"/>
      <c r="H122" s="5"/>
    </row>
    <row r="123" customFormat="false" ht="15" hidden="false" customHeight="false" outlineLevel="0" collapsed="false">
      <c r="A123" s="2" t="n">
        <v>122</v>
      </c>
      <c r="B123" s="3" t="s">
        <v>165</v>
      </c>
      <c r="C123" s="3" t="s">
        <v>184</v>
      </c>
      <c r="D123" s="3" t="s">
        <v>185</v>
      </c>
      <c r="E123" s="3" t="s">
        <v>34</v>
      </c>
      <c r="F123" s="4" t="s">
        <v>11</v>
      </c>
      <c r="G123" s="3" t="s">
        <v>186</v>
      </c>
      <c r="H123" s="3" t="s">
        <v>187</v>
      </c>
    </row>
    <row r="124" customFormat="false" ht="15" hidden="false" customHeight="false" outlineLevel="0" collapsed="false">
      <c r="A124" s="5" t="n">
        <v>123</v>
      </c>
      <c r="B124" s="6" t="s">
        <v>165</v>
      </c>
      <c r="C124" s="6" t="s">
        <v>184</v>
      </c>
      <c r="D124" s="6" t="s">
        <v>188</v>
      </c>
      <c r="E124" s="6" t="s">
        <v>34</v>
      </c>
      <c r="F124" s="7"/>
      <c r="G124" s="5"/>
      <c r="H124" s="6" t="s">
        <v>189</v>
      </c>
    </row>
    <row r="125" customFormat="false" ht="15" hidden="false" customHeight="false" outlineLevel="0" collapsed="false">
      <c r="A125" s="5" t="n">
        <v>124</v>
      </c>
      <c r="B125" s="6" t="s">
        <v>165</v>
      </c>
      <c r="C125" s="6" t="s">
        <v>184</v>
      </c>
      <c r="D125" s="6" t="s">
        <v>190</v>
      </c>
      <c r="E125" s="6" t="s">
        <v>34</v>
      </c>
      <c r="F125" s="7"/>
      <c r="G125" s="5"/>
      <c r="H125" s="5"/>
    </row>
    <row r="126" customFormat="false" ht="15" hidden="false" customHeight="false" outlineLevel="0" collapsed="false">
      <c r="A126" s="5" t="n">
        <v>125</v>
      </c>
      <c r="B126" s="6" t="s">
        <v>165</v>
      </c>
      <c r="C126" s="6" t="s">
        <v>184</v>
      </c>
      <c r="D126" s="6" t="s">
        <v>191</v>
      </c>
      <c r="E126" s="6" t="s">
        <v>10</v>
      </c>
      <c r="F126" s="7"/>
      <c r="G126" s="5"/>
      <c r="H126" s="5"/>
    </row>
    <row r="127" customFormat="false" ht="15" hidden="false" customHeight="false" outlineLevel="0" collapsed="false">
      <c r="A127" s="5" t="n">
        <v>126</v>
      </c>
      <c r="B127" s="6" t="s">
        <v>165</v>
      </c>
      <c r="C127" s="6" t="s">
        <v>184</v>
      </c>
      <c r="D127" s="6" t="s">
        <v>192</v>
      </c>
      <c r="E127" s="6" t="s">
        <v>13</v>
      </c>
      <c r="F127" s="7"/>
      <c r="G127" s="5"/>
      <c r="H127" s="5"/>
    </row>
    <row r="128" customFormat="false" ht="15" hidden="false" customHeight="false" outlineLevel="0" collapsed="false">
      <c r="A128" s="5" t="n">
        <v>127</v>
      </c>
      <c r="B128" s="6" t="s">
        <v>165</v>
      </c>
      <c r="C128" s="6" t="s">
        <v>184</v>
      </c>
      <c r="D128" s="6" t="s">
        <v>193</v>
      </c>
      <c r="E128" s="6" t="s">
        <v>92</v>
      </c>
      <c r="F128" s="7"/>
      <c r="G128" s="5"/>
      <c r="H128" s="5"/>
    </row>
    <row r="129" customFormat="false" ht="17.15" hidden="false" customHeight="false" outlineLevel="0" collapsed="false">
      <c r="A129" s="2" t="n">
        <v>128</v>
      </c>
      <c r="B129" s="3" t="s">
        <v>165</v>
      </c>
      <c r="C129" s="3" t="s">
        <v>194</v>
      </c>
      <c r="D129" s="3" t="s">
        <v>195</v>
      </c>
      <c r="E129" s="3" t="s">
        <v>10</v>
      </c>
      <c r="F129" s="4" t="s">
        <v>11</v>
      </c>
      <c r="G129" s="3" t="s">
        <v>196</v>
      </c>
      <c r="H129" s="3" t="s">
        <v>197</v>
      </c>
    </row>
    <row r="130" customFormat="false" ht="15" hidden="false" customHeight="false" outlineLevel="0" collapsed="false">
      <c r="A130" s="5" t="n">
        <v>129</v>
      </c>
      <c r="B130" s="6" t="s">
        <v>165</v>
      </c>
      <c r="C130" s="6" t="s">
        <v>198</v>
      </c>
      <c r="D130" s="6" t="s">
        <v>199</v>
      </c>
      <c r="E130" s="6" t="s">
        <v>10</v>
      </c>
      <c r="F130" s="7"/>
      <c r="G130" s="5"/>
      <c r="H130" s="5"/>
    </row>
    <row r="131" customFormat="false" ht="15" hidden="false" customHeight="false" outlineLevel="0" collapsed="false">
      <c r="A131" s="5" t="n">
        <v>130</v>
      </c>
      <c r="B131" s="6" t="s">
        <v>165</v>
      </c>
      <c r="C131" s="6" t="s">
        <v>198</v>
      </c>
      <c r="D131" s="6" t="s">
        <v>200</v>
      </c>
      <c r="E131" s="6" t="s">
        <v>34</v>
      </c>
      <c r="F131" s="7"/>
      <c r="G131" s="5"/>
      <c r="H131" s="5"/>
    </row>
    <row r="132" customFormat="false" ht="15" hidden="false" customHeight="false" outlineLevel="0" collapsed="false">
      <c r="A132" s="5" t="n">
        <v>131</v>
      </c>
      <c r="B132" s="6" t="s">
        <v>165</v>
      </c>
      <c r="C132" s="6" t="s">
        <v>198</v>
      </c>
      <c r="D132" s="6" t="s">
        <v>201</v>
      </c>
      <c r="E132" s="6" t="s">
        <v>13</v>
      </c>
      <c r="F132" s="7"/>
      <c r="G132" s="5"/>
      <c r="H132" s="5"/>
    </row>
    <row r="133" customFormat="false" ht="15" hidden="false" customHeight="false" outlineLevel="0" collapsed="false">
      <c r="A133" s="5" t="n">
        <v>132</v>
      </c>
      <c r="B133" s="6" t="s">
        <v>165</v>
      </c>
      <c r="C133" s="6" t="s">
        <v>198</v>
      </c>
      <c r="D133" s="6" t="s">
        <v>202</v>
      </c>
      <c r="E133" s="6" t="s">
        <v>34</v>
      </c>
      <c r="F133" s="7"/>
      <c r="G133" s="5"/>
      <c r="H133" s="5"/>
    </row>
    <row r="134" customFormat="false" ht="15" hidden="false" customHeight="false" outlineLevel="0" collapsed="false">
      <c r="A134" s="5" t="n">
        <v>133</v>
      </c>
      <c r="B134" s="6" t="s">
        <v>165</v>
      </c>
      <c r="C134" s="6" t="s">
        <v>198</v>
      </c>
      <c r="D134" s="6" t="s">
        <v>203</v>
      </c>
      <c r="E134" s="6" t="s">
        <v>62</v>
      </c>
      <c r="F134" s="7"/>
      <c r="G134" s="5"/>
      <c r="H134" s="6" t="s">
        <v>204</v>
      </c>
    </row>
    <row r="135" customFormat="false" ht="15" hidden="false" customHeight="false" outlineLevel="0" collapsed="false">
      <c r="A135" s="5" t="n">
        <v>134</v>
      </c>
      <c r="B135" s="6" t="s">
        <v>165</v>
      </c>
      <c r="C135" s="6" t="s">
        <v>205</v>
      </c>
      <c r="D135" s="6" t="s">
        <v>206</v>
      </c>
      <c r="E135" s="6" t="s">
        <v>34</v>
      </c>
      <c r="F135" s="7"/>
      <c r="G135" s="5"/>
      <c r="H135" s="5"/>
    </row>
    <row r="136" customFormat="false" ht="15" hidden="false" customHeight="false" outlineLevel="0" collapsed="false">
      <c r="A136" s="5" t="n">
        <v>135</v>
      </c>
      <c r="B136" s="6" t="s">
        <v>165</v>
      </c>
      <c r="C136" s="6" t="s">
        <v>205</v>
      </c>
      <c r="D136" s="6" t="s">
        <v>207</v>
      </c>
      <c r="E136" s="6" t="s">
        <v>34</v>
      </c>
      <c r="F136" s="7"/>
      <c r="G136" s="5"/>
      <c r="H136" s="5"/>
    </row>
    <row r="137" customFormat="false" ht="15" hidden="false" customHeight="false" outlineLevel="0" collapsed="false">
      <c r="A137" s="5" t="n">
        <v>136</v>
      </c>
      <c r="B137" s="6" t="s">
        <v>165</v>
      </c>
      <c r="C137" s="6" t="s">
        <v>205</v>
      </c>
      <c r="D137" s="6" t="s">
        <v>208</v>
      </c>
      <c r="E137" s="6" t="s">
        <v>34</v>
      </c>
      <c r="F137" s="7"/>
      <c r="G137" s="5"/>
      <c r="H137" s="5"/>
    </row>
    <row r="138" customFormat="false" ht="15" hidden="false" customHeight="false" outlineLevel="0" collapsed="false">
      <c r="A138" s="5" t="n">
        <v>137</v>
      </c>
      <c r="B138" s="6" t="s">
        <v>165</v>
      </c>
      <c r="C138" s="6" t="s">
        <v>205</v>
      </c>
      <c r="D138" s="6" t="s">
        <v>209</v>
      </c>
      <c r="E138" s="6" t="s">
        <v>13</v>
      </c>
      <c r="F138" s="7"/>
      <c r="G138" s="5"/>
      <c r="H138" s="5"/>
    </row>
    <row r="139" customFormat="false" ht="15" hidden="false" customHeight="false" outlineLevel="0" collapsed="false">
      <c r="A139" s="2" t="n">
        <v>138</v>
      </c>
      <c r="B139" s="3" t="s">
        <v>165</v>
      </c>
      <c r="C139" s="3" t="s">
        <v>205</v>
      </c>
      <c r="D139" s="3" t="s">
        <v>210</v>
      </c>
      <c r="E139" s="3" t="s">
        <v>34</v>
      </c>
      <c r="F139" s="4" t="s">
        <v>11</v>
      </c>
      <c r="G139" s="3" t="s">
        <v>211</v>
      </c>
      <c r="H139" s="3" t="s">
        <v>212</v>
      </c>
    </row>
    <row r="140" customFormat="false" ht="15" hidden="false" customHeight="false" outlineLevel="0" collapsed="false">
      <c r="A140" s="5" t="n">
        <v>139</v>
      </c>
      <c r="B140" s="6" t="s">
        <v>213</v>
      </c>
      <c r="C140" s="6" t="s">
        <v>214</v>
      </c>
      <c r="D140" s="6" t="s">
        <v>215</v>
      </c>
      <c r="E140" s="6" t="s">
        <v>10</v>
      </c>
      <c r="F140" s="7"/>
      <c r="G140" s="5"/>
      <c r="H140" s="6" t="s">
        <v>216</v>
      </c>
    </row>
    <row r="141" customFormat="false" ht="15" hidden="false" customHeight="false" outlineLevel="0" collapsed="false">
      <c r="A141" s="5" t="n">
        <v>140</v>
      </c>
      <c r="B141" s="6" t="s">
        <v>213</v>
      </c>
      <c r="C141" s="6" t="s">
        <v>214</v>
      </c>
      <c r="D141" s="6" t="s">
        <v>217</v>
      </c>
      <c r="E141" s="6" t="s">
        <v>34</v>
      </c>
      <c r="F141" s="7"/>
      <c r="G141" s="5"/>
      <c r="H141" s="5"/>
    </row>
    <row r="142" customFormat="false" ht="15" hidden="false" customHeight="false" outlineLevel="0" collapsed="false">
      <c r="A142" s="5" t="n">
        <v>141</v>
      </c>
      <c r="B142" s="6" t="s">
        <v>213</v>
      </c>
      <c r="C142" s="6" t="s">
        <v>214</v>
      </c>
      <c r="D142" s="6" t="s">
        <v>218</v>
      </c>
      <c r="E142" s="6" t="s">
        <v>10</v>
      </c>
      <c r="F142" s="7"/>
      <c r="G142" s="5"/>
      <c r="H142" s="5"/>
    </row>
    <row r="143" customFormat="false" ht="15" hidden="false" customHeight="false" outlineLevel="0" collapsed="false">
      <c r="A143" s="5" t="n">
        <v>142</v>
      </c>
      <c r="B143" s="6" t="s">
        <v>213</v>
      </c>
      <c r="C143" s="6" t="s">
        <v>214</v>
      </c>
      <c r="D143" s="6" t="s">
        <v>219</v>
      </c>
      <c r="E143" s="6" t="s">
        <v>13</v>
      </c>
      <c r="F143" s="7"/>
      <c r="G143" s="5"/>
      <c r="H143" s="5"/>
    </row>
    <row r="144" customFormat="false" ht="15" hidden="false" customHeight="false" outlineLevel="0" collapsed="false">
      <c r="A144" s="2" t="n">
        <v>143</v>
      </c>
      <c r="B144" s="3" t="s">
        <v>213</v>
      </c>
      <c r="C144" s="3" t="s">
        <v>220</v>
      </c>
      <c r="D144" s="3" t="s">
        <v>221</v>
      </c>
      <c r="E144" s="3" t="s">
        <v>10</v>
      </c>
      <c r="F144" s="4" t="s">
        <v>11</v>
      </c>
      <c r="G144" s="3" t="s">
        <v>221</v>
      </c>
      <c r="H144" s="3" t="s">
        <v>216</v>
      </c>
    </row>
    <row r="145" customFormat="false" ht="15" hidden="false" customHeight="false" outlineLevel="0" collapsed="false">
      <c r="A145" s="5" t="n">
        <v>144</v>
      </c>
      <c r="B145" s="6" t="s">
        <v>213</v>
      </c>
      <c r="C145" s="6" t="s">
        <v>222</v>
      </c>
      <c r="D145" s="6" t="s">
        <v>223</v>
      </c>
      <c r="E145" s="6" t="s">
        <v>34</v>
      </c>
      <c r="F145" s="7"/>
      <c r="G145" s="5"/>
      <c r="H145" s="5"/>
    </row>
    <row r="146" customFormat="false" ht="15" hidden="false" customHeight="false" outlineLevel="0" collapsed="false">
      <c r="A146" s="5" t="n">
        <v>145</v>
      </c>
      <c r="B146" s="6" t="s">
        <v>213</v>
      </c>
      <c r="C146" s="6" t="s">
        <v>222</v>
      </c>
      <c r="D146" s="6" t="s">
        <v>224</v>
      </c>
      <c r="E146" s="6" t="s">
        <v>34</v>
      </c>
      <c r="F146" s="7"/>
      <c r="G146" s="5"/>
      <c r="H146" s="5"/>
    </row>
    <row r="147" customFormat="false" ht="15" hidden="false" customHeight="false" outlineLevel="0" collapsed="false">
      <c r="A147" s="5" t="n">
        <v>146</v>
      </c>
      <c r="B147" s="6" t="s">
        <v>213</v>
      </c>
      <c r="C147" s="6" t="s">
        <v>222</v>
      </c>
      <c r="D147" s="6" t="s">
        <v>225</v>
      </c>
      <c r="E147" s="6" t="s">
        <v>34</v>
      </c>
      <c r="F147" s="7"/>
      <c r="G147" s="5"/>
      <c r="H147" s="5"/>
    </row>
    <row r="148" customFormat="false" ht="15" hidden="false" customHeight="false" outlineLevel="0" collapsed="false">
      <c r="A148" s="5" t="n">
        <v>147</v>
      </c>
      <c r="B148" s="6" t="s">
        <v>213</v>
      </c>
      <c r="C148" s="6" t="s">
        <v>226</v>
      </c>
      <c r="D148" s="6" t="s">
        <v>227</v>
      </c>
      <c r="E148" s="6" t="s">
        <v>34</v>
      </c>
      <c r="F148" s="7"/>
      <c r="G148" s="5"/>
      <c r="H148" s="5"/>
    </row>
    <row r="149" customFormat="false" ht="15" hidden="false" customHeight="false" outlineLevel="0" collapsed="false">
      <c r="A149" s="5" t="n">
        <v>148</v>
      </c>
      <c r="B149" s="6" t="s">
        <v>213</v>
      </c>
      <c r="C149" s="6" t="s">
        <v>226</v>
      </c>
      <c r="D149" s="6" t="s">
        <v>228</v>
      </c>
      <c r="E149" s="6" t="s">
        <v>34</v>
      </c>
      <c r="F149" s="7"/>
      <c r="G149" s="5"/>
      <c r="H149" s="5"/>
    </row>
    <row r="150" customFormat="false" ht="15" hidden="false" customHeight="false" outlineLevel="0" collapsed="false">
      <c r="A150" s="5" t="n">
        <v>149</v>
      </c>
      <c r="B150" s="6" t="s">
        <v>213</v>
      </c>
      <c r="C150" s="6" t="s">
        <v>229</v>
      </c>
      <c r="D150" s="6" t="s">
        <v>230</v>
      </c>
      <c r="E150" s="6" t="s">
        <v>10</v>
      </c>
      <c r="F150" s="7"/>
      <c r="G150" s="5"/>
      <c r="H150" s="6" t="s">
        <v>216</v>
      </c>
    </row>
    <row r="151" customFormat="false" ht="15" hidden="false" customHeight="false" outlineLevel="0" collapsed="false">
      <c r="A151" s="5" t="n">
        <v>150</v>
      </c>
      <c r="B151" s="6" t="s">
        <v>213</v>
      </c>
      <c r="C151" s="6" t="s">
        <v>229</v>
      </c>
      <c r="D151" s="6" t="s">
        <v>231</v>
      </c>
      <c r="E151" s="6" t="s">
        <v>10</v>
      </c>
      <c r="F151" s="7"/>
      <c r="G151" s="5"/>
      <c r="H151" s="6" t="s">
        <v>232</v>
      </c>
    </row>
    <row r="152" customFormat="false" ht="15" hidden="false" customHeight="false" outlineLevel="0" collapsed="false">
      <c r="A152" s="5" t="n">
        <v>151</v>
      </c>
      <c r="B152" s="6" t="s">
        <v>213</v>
      </c>
      <c r="C152" s="6" t="s">
        <v>229</v>
      </c>
      <c r="D152" s="6" t="s">
        <v>233</v>
      </c>
      <c r="E152" s="6" t="s">
        <v>10</v>
      </c>
      <c r="F152" s="7"/>
      <c r="G152" s="5"/>
      <c r="H152" s="5"/>
    </row>
    <row r="153" customFormat="false" ht="15" hidden="false" customHeight="false" outlineLevel="0" collapsed="false">
      <c r="A153" s="5" t="n">
        <v>152</v>
      </c>
      <c r="B153" s="6" t="s">
        <v>213</v>
      </c>
      <c r="C153" s="6" t="s">
        <v>229</v>
      </c>
      <c r="D153" s="6" t="s">
        <v>234</v>
      </c>
      <c r="E153" s="6" t="s">
        <v>10</v>
      </c>
      <c r="F153" s="7"/>
      <c r="G153" s="5"/>
      <c r="H153" s="5"/>
    </row>
    <row r="154" customFormat="false" ht="15" hidden="false" customHeight="false" outlineLevel="0" collapsed="false">
      <c r="A154" s="5" t="n">
        <v>153</v>
      </c>
      <c r="B154" s="6" t="s">
        <v>213</v>
      </c>
      <c r="C154" s="6" t="s">
        <v>229</v>
      </c>
      <c r="D154" s="6" t="s">
        <v>235</v>
      </c>
      <c r="E154" s="6" t="s">
        <v>34</v>
      </c>
      <c r="F154" s="7"/>
      <c r="G154" s="5"/>
      <c r="H154" s="5"/>
    </row>
    <row r="155" customFormat="false" ht="15" hidden="false" customHeight="false" outlineLevel="0" collapsed="false">
      <c r="A155" s="2" t="n">
        <v>154</v>
      </c>
      <c r="B155" s="3" t="s">
        <v>213</v>
      </c>
      <c r="C155" s="3" t="s">
        <v>229</v>
      </c>
      <c r="D155" s="3" t="s">
        <v>236</v>
      </c>
      <c r="E155" s="3" t="s">
        <v>34</v>
      </c>
      <c r="F155" s="4" t="s">
        <v>11</v>
      </c>
      <c r="G155" s="3" t="s">
        <v>237</v>
      </c>
      <c r="H155" s="3" t="s">
        <v>238</v>
      </c>
    </row>
    <row r="156" customFormat="false" ht="15" hidden="false" customHeight="false" outlineLevel="0" collapsed="false">
      <c r="A156" s="2" t="n">
        <v>155</v>
      </c>
      <c r="B156" s="3" t="s">
        <v>213</v>
      </c>
      <c r="C156" s="3" t="s">
        <v>229</v>
      </c>
      <c r="D156" s="3" t="s">
        <v>239</v>
      </c>
      <c r="E156" s="3" t="s">
        <v>34</v>
      </c>
      <c r="F156" s="4" t="s">
        <v>11</v>
      </c>
      <c r="G156" s="3" t="s">
        <v>240</v>
      </c>
      <c r="H156" s="3" t="s">
        <v>241</v>
      </c>
    </row>
    <row r="157" customFormat="false" ht="15" hidden="false" customHeight="false" outlineLevel="0" collapsed="false">
      <c r="A157" s="2" t="n">
        <v>156</v>
      </c>
      <c r="B157" s="3" t="s">
        <v>213</v>
      </c>
      <c r="C157" s="3" t="s">
        <v>229</v>
      </c>
      <c r="D157" s="3" t="s">
        <v>242</v>
      </c>
      <c r="E157" s="3" t="s">
        <v>34</v>
      </c>
      <c r="F157" s="4" t="s">
        <v>11</v>
      </c>
      <c r="G157" s="3" t="s">
        <v>243</v>
      </c>
      <c r="H157" s="3" t="s">
        <v>244</v>
      </c>
    </row>
    <row r="158" customFormat="false" ht="15" hidden="false" customHeight="false" outlineLevel="0" collapsed="false">
      <c r="A158" s="5" t="n">
        <v>157</v>
      </c>
      <c r="B158" s="6" t="s">
        <v>213</v>
      </c>
      <c r="C158" s="6" t="s">
        <v>229</v>
      </c>
      <c r="D158" s="6" t="s">
        <v>245</v>
      </c>
      <c r="E158" s="6" t="s">
        <v>34</v>
      </c>
      <c r="F158" s="7"/>
      <c r="G158" s="5"/>
      <c r="H158" s="5"/>
    </row>
    <row r="159" customFormat="false" ht="15" hidden="false" customHeight="false" outlineLevel="0" collapsed="false">
      <c r="A159" s="2" t="n">
        <v>158</v>
      </c>
      <c r="B159" s="3" t="s">
        <v>213</v>
      </c>
      <c r="C159" s="3" t="s">
        <v>229</v>
      </c>
      <c r="D159" s="3" t="s">
        <v>246</v>
      </c>
      <c r="E159" s="3" t="s">
        <v>34</v>
      </c>
      <c r="F159" s="4" t="s">
        <v>11</v>
      </c>
      <c r="G159" s="3" t="s">
        <v>247</v>
      </c>
      <c r="H159" s="3" t="s">
        <v>248</v>
      </c>
    </row>
    <row r="160" customFormat="false" ht="15" hidden="false" customHeight="false" outlineLevel="0" collapsed="false">
      <c r="A160" s="5" t="n">
        <v>159</v>
      </c>
      <c r="B160" s="6" t="s">
        <v>213</v>
      </c>
      <c r="C160" s="6" t="s">
        <v>229</v>
      </c>
      <c r="D160" s="6" t="s">
        <v>249</v>
      </c>
      <c r="E160" s="6" t="s">
        <v>34</v>
      </c>
      <c r="F160" s="7"/>
      <c r="G160" s="5"/>
      <c r="H160" s="5"/>
    </row>
    <row r="161" customFormat="false" ht="15" hidden="false" customHeight="false" outlineLevel="0" collapsed="false">
      <c r="A161" s="5" t="n">
        <v>160</v>
      </c>
      <c r="B161" s="6" t="s">
        <v>213</v>
      </c>
      <c r="C161" s="6" t="s">
        <v>229</v>
      </c>
      <c r="D161" s="6" t="s">
        <v>250</v>
      </c>
      <c r="E161" s="6" t="s">
        <v>13</v>
      </c>
      <c r="F161" s="7"/>
      <c r="G161" s="5"/>
      <c r="H161" s="5"/>
    </row>
    <row r="162" customFormat="false" ht="15" hidden="false" customHeight="false" outlineLevel="0" collapsed="false">
      <c r="A162" s="5" t="n">
        <v>161</v>
      </c>
      <c r="B162" s="6" t="s">
        <v>213</v>
      </c>
      <c r="C162" s="6" t="s">
        <v>229</v>
      </c>
      <c r="D162" s="6" t="s">
        <v>251</v>
      </c>
      <c r="E162" s="6" t="s">
        <v>13</v>
      </c>
      <c r="F162" s="7"/>
      <c r="G162" s="5"/>
      <c r="H162" s="5"/>
    </row>
    <row r="163" customFormat="false" ht="15" hidden="false" customHeight="false" outlineLevel="0" collapsed="false">
      <c r="A163" s="5" t="n">
        <v>162</v>
      </c>
      <c r="B163" s="6" t="s">
        <v>213</v>
      </c>
      <c r="C163" s="6" t="s">
        <v>252</v>
      </c>
      <c r="D163" s="6" t="s">
        <v>253</v>
      </c>
      <c r="E163" s="6" t="s">
        <v>13</v>
      </c>
      <c r="F163" s="7"/>
      <c r="G163" s="5"/>
      <c r="H163" s="5"/>
    </row>
    <row r="164" customFormat="false" ht="15" hidden="false" customHeight="false" outlineLevel="0" collapsed="false">
      <c r="A164" s="5" t="n">
        <v>163</v>
      </c>
      <c r="B164" s="6" t="s">
        <v>213</v>
      </c>
      <c r="C164" s="6" t="s">
        <v>252</v>
      </c>
      <c r="D164" s="6" t="s">
        <v>254</v>
      </c>
      <c r="E164" s="6" t="s">
        <v>60</v>
      </c>
      <c r="F164" s="7"/>
      <c r="G164" s="5"/>
      <c r="H164" s="5"/>
    </row>
    <row r="165" customFormat="false" ht="15" hidden="false" customHeight="false" outlineLevel="0" collapsed="false">
      <c r="A165" s="5" t="n">
        <v>164</v>
      </c>
      <c r="B165" s="6" t="s">
        <v>213</v>
      </c>
      <c r="C165" s="6" t="s">
        <v>255</v>
      </c>
      <c r="D165" s="6" t="s">
        <v>256</v>
      </c>
      <c r="E165" s="6" t="s">
        <v>34</v>
      </c>
      <c r="F165" s="7"/>
      <c r="G165" s="5"/>
      <c r="H165" s="5"/>
    </row>
    <row r="166" customFormat="false" ht="15" hidden="false" customHeight="false" outlineLevel="0" collapsed="false">
      <c r="A166" s="5" t="n">
        <v>165</v>
      </c>
      <c r="B166" s="6" t="s">
        <v>213</v>
      </c>
      <c r="C166" s="6" t="s">
        <v>255</v>
      </c>
      <c r="D166" s="6" t="s">
        <v>257</v>
      </c>
      <c r="E166" s="6" t="s">
        <v>34</v>
      </c>
      <c r="F166" s="7"/>
      <c r="G166" s="5"/>
      <c r="H166" s="5"/>
    </row>
    <row r="167" customFormat="false" ht="15" hidden="false" customHeight="false" outlineLevel="0" collapsed="false">
      <c r="A167" s="5" t="n">
        <v>166</v>
      </c>
      <c r="B167" s="6" t="s">
        <v>258</v>
      </c>
      <c r="C167" s="6" t="s">
        <v>259</v>
      </c>
      <c r="D167" s="6" t="s">
        <v>260</v>
      </c>
      <c r="E167" s="6" t="s">
        <v>13</v>
      </c>
      <c r="F167" s="7"/>
      <c r="G167" s="5"/>
      <c r="H167" s="5"/>
    </row>
    <row r="168" customFormat="false" ht="15" hidden="false" customHeight="false" outlineLevel="0" collapsed="false">
      <c r="A168" s="2" t="n">
        <v>167</v>
      </c>
      <c r="B168" s="3" t="s">
        <v>258</v>
      </c>
      <c r="C168" s="3" t="s">
        <v>259</v>
      </c>
      <c r="D168" s="3" t="s">
        <v>261</v>
      </c>
      <c r="E168" s="3" t="s">
        <v>13</v>
      </c>
      <c r="F168" s="4" t="s">
        <v>11</v>
      </c>
      <c r="G168" s="3" t="s">
        <v>261</v>
      </c>
      <c r="H168" s="3" t="s">
        <v>262</v>
      </c>
    </row>
    <row r="169" customFormat="false" ht="15" hidden="false" customHeight="false" outlineLevel="0" collapsed="false">
      <c r="A169" s="5" t="n">
        <v>168</v>
      </c>
      <c r="B169" s="6" t="s">
        <v>258</v>
      </c>
      <c r="C169" s="6" t="s">
        <v>259</v>
      </c>
      <c r="D169" s="6" t="s">
        <v>263</v>
      </c>
      <c r="E169" s="6" t="s">
        <v>34</v>
      </c>
      <c r="F169" s="7"/>
      <c r="G169" s="5"/>
      <c r="H169" s="5"/>
    </row>
    <row r="170" customFormat="false" ht="17.15" hidden="false" customHeight="false" outlineLevel="0" collapsed="false">
      <c r="A170" s="5" t="n">
        <v>169</v>
      </c>
      <c r="B170" s="6" t="s">
        <v>258</v>
      </c>
      <c r="C170" s="6" t="s">
        <v>259</v>
      </c>
      <c r="D170" s="6" t="s">
        <v>264</v>
      </c>
      <c r="E170" s="6" t="s">
        <v>92</v>
      </c>
      <c r="F170" s="7"/>
      <c r="G170" s="5"/>
      <c r="H170" s="5"/>
    </row>
    <row r="171" customFormat="false" ht="15" hidden="false" customHeight="false" outlineLevel="0" collapsed="false">
      <c r="A171" s="5" t="n">
        <v>170</v>
      </c>
      <c r="B171" s="6" t="s">
        <v>258</v>
      </c>
      <c r="C171" s="6" t="s">
        <v>265</v>
      </c>
      <c r="D171" s="6" t="s">
        <v>266</v>
      </c>
      <c r="E171" s="6" t="s">
        <v>34</v>
      </c>
      <c r="F171" s="7"/>
      <c r="G171" s="5"/>
      <c r="H171" s="5"/>
    </row>
    <row r="172" customFormat="false" ht="15" hidden="false" customHeight="false" outlineLevel="0" collapsed="false">
      <c r="A172" s="5" t="n">
        <v>171</v>
      </c>
      <c r="B172" s="6" t="s">
        <v>258</v>
      </c>
      <c r="C172" s="6" t="s">
        <v>265</v>
      </c>
      <c r="D172" s="6" t="s">
        <v>267</v>
      </c>
      <c r="E172" s="6" t="s">
        <v>13</v>
      </c>
      <c r="F172" s="7"/>
      <c r="G172" s="5"/>
      <c r="H172" s="5"/>
    </row>
    <row r="173" customFormat="false" ht="15" hidden="false" customHeight="false" outlineLevel="0" collapsed="false">
      <c r="A173" s="5" t="n">
        <v>172</v>
      </c>
      <c r="B173" s="6" t="s">
        <v>258</v>
      </c>
      <c r="C173" s="6" t="s">
        <v>265</v>
      </c>
      <c r="D173" s="6" t="s">
        <v>268</v>
      </c>
      <c r="E173" s="6" t="s">
        <v>13</v>
      </c>
      <c r="F173" s="7"/>
      <c r="G173" s="5"/>
      <c r="H173" s="5"/>
    </row>
    <row r="174" customFormat="false" ht="15" hidden="false" customHeight="false" outlineLevel="0" collapsed="false">
      <c r="A174" s="5" t="n">
        <v>173</v>
      </c>
      <c r="B174" s="6" t="s">
        <v>258</v>
      </c>
      <c r="C174" s="6" t="s">
        <v>265</v>
      </c>
      <c r="D174" s="6" t="s">
        <v>269</v>
      </c>
      <c r="E174" s="6" t="s">
        <v>13</v>
      </c>
      <c r="F174" s="7"/>
      <c r="G174" s="5"/>
      <c r="H174" s="5"/>
    </row>
    <row r="175" customFormat="false" ht="15" hidden="false" customHeight="false" outlineLevel="0" collapsed="false">
      <c r="A175" s="5" t="n">
        <v>174</v>
      </c>
      <c r="B175" s="6" t="s">
        <v>258</v>
      </c>
      <c r="C175" s="6" t="s">
        <v>265</v>
      </c>
      <c r="D175" s="6" t="s">
        <v>270</v>
      </c>
      <c r="E175" s="6" t="s">
        <v>34</v>
      </c>
      <c r="F175" s="7"/>
      <c r="G175" s="5"/>
      <c r="H175" s="5"/>
    </row>
    <row r="176" customFormat="false" ht="15" hidden="false" customHeight="false" outlineLevel="0" collapsed="false">
      <c r="A176" s="2" t="n">
        <v>175</v>
      </c>
      <c r="B176" s="3" t="s">
        <v>258</v>
      </c>
      <c r="C176" s="3" t="s">
        <v>265</v>
      </c>
      <c r="D176" s="3" t="s">
        <v>271</v>
      </c>
      <c r="E176" s="3" t="s">
        <v>10</v>
      </c>
      <c r="F176" s="4" t="s">
        <v>11</v>
      </c>
      <c r="G176" s="3" t="s">
        <v>272</v>
      </c>
      <c r="H176" s="3" t="s">
        <v>273</v>
      </c>
    </row>
    <row r="177" customFormat="false" ht="15" hidden="false" customHeight="false" outlineLevel="0" collapsed="false">
      <c r="A177" s="5" t="n">
        <v>176</v>
      </c>
      <c r="B177" s="6" t="s">
        <v>258</v>
      </c>
      <c r="C177" s="6" t="s">
        <v>274</v>
      </c>
      <c r="D177" s="6" t="s">
        <v>275</v>
      </c>
      <c r="E177" s="6" t="s">
        <v>34</v>
      </c>
      <c r="F177" s="7"/>
      <c r="G177" s="5"/>
      <c r="H177" s="5"/>
    </row>
    <row r="178" customFormat="false" ht="15" hidden="false" customHeight="false" outlineLevel="0" collapsed="false">
      <c r="A178" s="5" t="n">
        <v>177</v>
      </c>
      <c r="B178" s="6" t="s">
        <v>258</v>
      </c>
      <c r="C178" s="6" t="s">
        <v>274</v>
      </c>
      <c r="D178" s="6" t="s">
        <v>276</v>
      </c>
      <c r="E178" s="6" t="s">
        <v>13</v>
      </c>
      <c r="F178" s="7"/>
      <c r="G178" s="5"/>
      <c r="H178" s="5"/>
    </row>
    <row r="179" customFormat="false" ht="15" hidden="false" customHeight="false" outlineLevel="0" collapsed="false">
      <c r="A179" s="5" t="n">
        <v>178</v>
      </c>
      <c r="B179" s="6" t="s">
        <v>258</v>
      </c>
      <c r="C179" s="6" t="s">
        <v>274</v>
      </c>
      <c r="D179" s="6" t="s">
        <v>277</v>
      </c>
      <c r="E179" s="6" t="s">
        <v>34</v>
      </c>
      <c r="F179" s="7"/>
      <c r="G179" s="5"/>
      <c r="H179" s="5"/>
    </row>
    <row r="180" customFormat="false" ht="15" hidden="false" customHeight="false" outlineLevel="0" collapsed="false">
      <c r="A180" s="5" t="n">
        <v>179</v>
      </c>
      <c r="B180" s="6" t="s">
        <v>258</v>
      </c>
      <c r="C180" s="6" t="s">
        <v>274</v>
      </c>
      <c r="D180" s="6" t="s">
        <v>278</v>
      </c>
      <c r="E180" s="6" t="s">
        <v>34</v>
      </c>
      <c r="F180" s="7"/>
      <c r="G180" s="5"/>
      <c r="H180" s="5"/>
    </row>
    <row r="181" customFormat="false" ht="15" hidden="false" customHeight="false" outlineLevel="0" collapsed="false">
      <c r="A181" s="5" t="n">
        <v>180</v>
      </c>
      <c r="B181" s="6" t="s">
        <v>258</v>
      </c>
      <c r="C181" s="6" t="s">
        <v>274</v>
      </c>
      <c r="D181" s="6" t="s">
        <v>279</v>
      </c>
      <c r="E181" s="6" t="s">
        <v>10</v>
      </c>
      <c r="F181" s="7"/>
      <c r="G181" s="5"/>
      <c r="H181" s="5"/>
    </row>
    <row r="182" customFormat="false" ht="15" hidden="false" customHeight="false" outlineLevel="0" collapsed="false">
      <c r="A182" s="5" t="n">
        <v>181</v>
      </c>
      <c r="B182" s="6" t="s">
        <v>258</v>
      </c>
      <c r="C182" s="6" t="s">
        <v>280</v>
      </c>
      <c r="D182" s="6" t="s">
        <v>281</v>
      </c>
      <c r="E182" s="6" t="s">
        <v>34</v>
      </c>
      <c r="F182" s="7"/>
      <c r="G182" s="5"/>
      <c r="H182" s="5"/>
    </row>
    <row r="183" customFormat="false" ht="15" hidden="false" customHeight="false" outlineLevel="0" collapsed="false">
      <c r="A183" s="5" t="n">
        <v>182</v>
      </c>
      <c r="B183" s="6" t="s">
        <v>258</v>
      </c>
      <c r="C183" s="6" t="s">
        <v>280</v>
      </c>
      <c r="D183" s="6" t="s">
        <v>282</v>
      </c>
      <c r="E183" s="6" t="s">
        <v>34</v>
      </c>
      <c r="F183" s="7"/>
      <c r="G183" s="5"/>
      <c r="H183" s="5"/>
    </row>
    <row r="184" customFormat="false" ht="15" hidden="false" customHeight="false" outlineLevel="0" collapsed="false">
      <c r="A184" s="5" t="n">
        <v>183</v>
      </c>
      <c r="B184" s="6" t="s">
        <v>258</v>
      </c>
      <c r="C184" s="6" t="s">
        <v>280</v>
      </c>
      <c r="D184" s="6" t="s">
        <v>283</v>
      </c>
      <c r="E184" s="6" t="s">
        <v>34</v>
      </c>
      <c r="F184" s="7"/>
      <c r="G184" s="5"/>
      <c r="H184" s="5"/>
    </row>
    <row r="185" customFormat="false" ht="15" hidden="false" customHeight="false" outlineLevel="0" collapsed="false">
      <c r="A185" s="5" t="n">
        <v>184</v>
      </c>
      <c r="B185" s="6" t="s">
        <v>258</v>
      </c>
      <c r="C185" s="6" t="s">
        <v>280</v>
      </c>
      <c r="D185" s="6" t="s">
        <v>284</v>
      </c>
      <c r="E185" s="6" t="s">
        <v>34</v>
      </c>
      <c r="F185" s="7"/>
      <c r="G185" s="5"/>
      <c r="H185" s="5"/>
    </row>
    <row r="186" customFormat="false" ht="15" hidden="false" customHeight="false" outlineLevel="0" collapsed="false">
      <c r="A186" s="5" t="n">
        <v>185</v>
      </c>
      <c r="B186" s="6" t="s">
        <v>258</v>
      </c>
      <c r="C186" s="6" t="s">
        <v>285</v>
      </c>
      <c r="D186" s="6" t="s">
        <v>286</v>
      </c>
      <c r="E186" s="6" t="s">
        <v>13</v>
      </c>
      <c r="F186" s="7"/>
      <c r="G186" s="5"/>
      <c r="H186" s="5"/>
    </row>
    <row r="187" customFormat="false" ht="15" hidden="false" customHeight="false" outlineLevel="0" collapsed="false">
      <c r="A187" s="5" t="n">
        <v>186</v>
      </c>
      <c r="B187" s="6" t="s">
        <v>258</v>
      </c>
      <c r="C187" s="6" t="s">
        <v>285</v>
      </c>
      <c r="D187" s="6" t="s">
        <v>287</v>
      </c>
      <c r="E187" s="6" t="s">
        <v>288</v>
      </c>
      <c r="F187" s="7"/>
      <c r="G187" s="5"/>
      <c r="H187" s="6" t="s">
        <v>289</v>
      </c>
    </row>
    <row r="188" customFormat="false" ht="15" hidden="false" customHeight="false" outlineLevel="0" collapsed="false">
      <c r="A188" s="5" t="n">
        <v>187</v>
      </c>
      <c r="B188" s="6" t="s">
        <v>258</v>
      </c>
      <c r="C188" s="6" t="s">
        <v>290</v>
      </c>
      <c r="D188" s="6" t="s">
        <v>291</v>
      </c>
      <c r="E188" s="6" t="s">
        <v>34</v>
      </c>
      <c r="F188" s="7"/>
      <c r="G188" s="5"/>
      <c r="H188" s="5"/>
    </row>
    <row r="189" customFormat="false" ht="15" hidden="false" customHeight="false" outlineLevel="0" collapsed="false">
      <c r="A189" s="5" t="n">
        <v>188</v>
      </c>
      <c r="B189" s="6" t="s">
        <v>258</v>
      </c>
      <c r="C189" s="6" t="s">
        <v>290</v>
      </c>
      <c r="D189" s="6" t="s">
        <v>292</v>
      </c>
      <c r="E189" s="6" t="s">
        <v>34</v>
      </c>
      <c r="F189" s="7"/>
      <c r="G189" s="5"/>
      <c r="H189" s="5"/>
    </row>
    <row r="190" customFormat="false" ht="15" hidden="false" customHeight="false" outlineLevel="0" collapsed="false">
      <c r="A190" s="2" t="n">
        <v>189</v>
      </c>
      <c r="B190" s="3" t="s">
        <v>258</v>
      </c>
      <c r="C190" s="3" t="s">
        <v>293</v>
      </c>
      <c r="D190" s="3" t="s">
        <v>294</v>
      </c>
      <c r="E190" s="3" t="s">
        <v>10</v>
      </c>
      <c r="F190" s="4" t="s">
        <v>11</v>
      </c>
      <c r="G190" s="3" t="s">
        <v>295</v>
      </c>
      <c r="H190" s="3" t="s">
        <v>296</v>
      </c>
    </row>
    <row r="191" customFormat="false" ht="15" hidden="false" customHeight="false" outlineLevel="0" collapsed="false">
      <c r="A191" s="5" t="n">
        <v>190</v>
      </c>
      <c r="B191" s="6" t="s">
        <v>258</v>
      </c>
      <c r="C191" s="6" t="s">
        <v>293</v>
      </c>
      <c r="D191" s="6" t="s">
        <v>297</v>
      </c>
      <c r="E191" s="6" t="s">
        <v>34</v>
      </c>
      <c r="F191" s="7"/>
      <c r="G191" s="5"/>
      <c r="H191" s="5"/>
    </row>
    <row r="192" customFormat="false" ht="15" hidden="false" customHeight="false" outlineLevel="0" collapsed="false">
      <c r="A192" s="5" t="n">
        <v>191</v>
      </c>
      <c r="B192" s="6" t="s">
        <v>258</v>
      </c>
      <c r="C192" s="6" t="s">
        <v>298</v>
      </c>
      <c r="D192" s="6" t="s">
        <v>299</v>
      </c>
      <c r="E192" s="6" t="s">
        <v>34</v>
      </c>
      <c r="F192" s="7"/>
      <c r="G192" s="5"/>
      <c r="H192" s="5"/>
    </row>
    <row r="193" customFormat="false" ht="15" hidden="false" customHeight="false" outlineLevel="0" collapsed="false">
      <c r="A193" s="5" t="n">
        <v>192</v>
      </c>
      <c r="B193" s="6" t="s">
        <v>258</v>
      </c>
      <c r="C193" s="6" t="s">
        <v>298</v>
      </c>
      <c r="D193" s="6" t="s">
        <v>300</v>
      </c>
      <c r="E193" s="6" t="s">
        <v>34</v>
      </c>
      <c r="F193" s="7"/>
      <c r="G193" s="5"/>
      <c r="H193" s="5"/>
    </row>
    <row r="194" customFormat="false" ht="15" hidden="false" customHeight="false" outlineLevel="0" collapsed="false">
      <c r="A194" s="5" t="n">
        <v>193</v>
      </c>
      <c r="B194" s="6" t="s">
        <v>258</v>
      </c>
      <c r="C194" s="6" t="s">
        <v>298</v>
      </c>
      <c r="D194" s="6" t="s">
        <v>301</v>
      </c>
      <c r="E194" s="6" t="s">
        <v>13</v>
      </c>
      <c r="F194" s="7"/>
      <c r="G194" s="5"/>
      <c r="H194" s="5"/>
    </row>
    <row r="195" customFormat="false" ht="15" hidden="false" customHeight="false" outlineLevel="0" collapsed="false">
      <c r="A195" s="2" t="n">
        <v>194</v>
      </c>
      <c r="B195" s="3" t="s">
        <v>258</v>
      </c>
      <c r="C195" s="3" t="s">
        <v>302</v>
      </c>
      <c r="D195" s="3" t="s">
        <v>303</v>
      </c>
      <c r="E195" s="3" t="s">
        <v>60</v>
      </c>
      <c r="F195" s="4" t="s">
        <v>11</v>
      </c>
      <c r="G195" s="3" t="s">
        <v>304</v>
      </c>
      <c r="H195" s="2"/>
    </row>
    <row r="196" customFormat="false" ht="15" hidden="false" customHeight="false" outlineLevel="0" collapsed="false">
      <c r="A196" s="5" t="n">
        <v>195</v>
      </c>
      <c r="B196" s="6" t="s">
        <v>258</v>
      </c>
      <c r="C196" s="6" t="s">
        <v>302</v>
      </c>
      <c r="D196" s="6" t="s">
        <v>305</v>
      </c>
      <c r="E196" s="6" t="s">
        <v>13</v>
      </c>
      <c r="F196" s="7"/>
      <c r="G196" s="5"/>
      <c r="H196" s="6" t="s">
        <v>306</v>
      </c>
    </row>
    <row r="197" customFormat="false" ht="15" hidden="false" customHeight="false" outlineLevel="0" collapsed="false">
      <c r="A197" s="5" t="n">
        <v>196</v>
      </c>
      <c r="B197" s="6" t="s">
        <v>307</v>
      </c>
      <c r="C197" s="6" t="s">
        <v>308</v>
      </c>
      <c r="D197" s="6" t="s">
        <v>309</v>
      </c>
      <c r="E197" s="6" t="s">
        <v>13</v>
      </c>
      <c r="F197" s="7"/>
      <c r="G197" s="5"/>
      <c r="H197" s="5"/>
    </row>
    <row r="198" customFormat="false" ht="15" hidden="false" customHeight="false" outlineLevel="0" collapsed="false">
      <c r="A198" s="5" t="n">
        <v>197</v>
      </c>
      <c r="B198" s="6" t="s">
        <v>307</v>
      </c>
      <c r="C198" s="6" t="s">
        <v>308</v>
      </c>
      <c r="D198" s="6" t="s">
        <v>310</v>
      </c>
      <c r="E198" s="6" t="s">
        <v>34</v>
      </c>
      <c r="F198" s="7"/>
      <c r="G198" s="5"/>
      <c r="H198" s="5"/>
    </row>
    <row r="199" customFormat="false" ht="15" hidden="false" customHeight="false" outlineLevel="0" collapsed="false">
      <c r="A199" s="5" t="n">
        <v>198</v>
      </c>
      <c r="B199" s="6" t="s">
        <v>307</v>
      </c>
      <c r="C199" s="6" t="s">
        <v>308</v>
      </c>
      <c r="D199" s="6" t="s">
        <v>311</v>
      </c>
      <c r="E199" s="6" t="s">
        <v>34</v>
      </c>
      <c r="F199" s="7"/>
      <c r="G199" s="5"/>
      <c r="H199" s="5"/>
    </row>
    <row r="200" customFormat="false" ht="15" hidden="false" customHeight="false" outlineLevel="0" collapsed="false">
      <c r="A200" s="5" t="n">
        <v>199</v>
      </c>
      <c r="B200" s="6" t="s">
        <v>307</v>
      </c>
      <c r="C200" s="6" t="s">
        <v>308</v>
      </c>
      <c r="D200" s="6" t="s">
        <v>312</v>
      </c>
      <c r="E200" s="6" t="s">
        <v>34</v>
      </c>
      <c r="F200" s="7"/>
      <c r="G200" s="5"/>
      <c r="H200" s="5"/>
    </row>
    <row r="201" customFormat="false" ht="15" hidden="false" customHeight="false" outlineLevel="0" collapsed="false">
      <c r="A201" s="5" t="n">
        <v>200</v>
      </c>
      <c r="B201" s="6" t="s">
        <v>307</v>
      </c>
      <c r="C201" s="6" t="s">
        <v>313</v>
      </c>
      <c r="D201" s="6" t="s">
        <v>314</v>
      </c>
      <c r="E201" s="6" t="s">
        <v>10</v>
      </c>
      <c r="F201" s="7"/>
      <c r="G201" s="5"/>
      <c r="H201" s="5"/>
    </row>
    <row r="202" customFormat="false" ht="15" hidden="false" customHeight="false" outlineLevel="0" collapsed="false">
      <c r="A202" s="5" t="n">
        <v>201</v>
      </c>
      <c r="B202" s="6" t="s">
        <v>307</v>
      </c>
      <c r="C202" s="6" t="s">
        <v>313</v>
      </c>
      <c r="D202" s="6" t="s">
        <v>315</v>
      </c>
      <c r="E202" s="6" t="s">
        <v>34</v>
      </c>
      <c r="F202" s="7"/>
      <c r="G202" s="5"/>
      <c r="H202" s="5"/>
    </row>
    <row r="203" customFormat="false" ht="15" hidden="false" customHeight="false" outlineLevel="0" collapsed="false">
      <c r="A203" s="5" t="n">
        <v>202</v>
      </c>
      <c r="B203" s="6" t="s">
        <v>307</v>
      </c>
      <c r="C203" s="6" t="s">
        <v>313</v>
      </c>
      <c r="D203" s="6" t="s">
        <v>316</v>
      </c>
      <c r="E203" s="6" t="s">
        <v>13</v>
      </c>
      <c r="F203" s="7"/>
      <c r="G203" s="5"/>
      <c r="H203" s="5"/>
    </row>
    <row r="204" customFormat="false" ht="15" hidden="false" customHeight="false" outlineLevel="0" collapsed="false">
      <c r="A204" s="5" t="n">
        <v>203</v>
      </c>
      <c r="B204" s="6" t="s">
        <v>307</v>
      </c>
      <c r="C204" s="6" t="s">
        <v>317</v>
      </c>
      <c r="D204" s="6" t="s">
        <v>318</v>
      </c>
      <c r="E204" s="6" t="s">
        <v>13</v>
      </c>
      <c r="F204" s="7"/>
      <c r="G204" s="5"/>
      <c r="H204" s="6" t="s">
        <v>306</v>
      </c>
    </row>
    <row r="205" customFormat="false" ht="15" hidden="false" customHeight="false" outlineLevel="0" collapsed="false">
      <c r="A205" s="5" t="n">
        <v>204</v>
      </c>
      <c r="B205" s="6" t="s">
        <v>307</v>
      </c>
      <c r="C205" s="6" t="s">
        <v>317</v>
      </c>
      <c r="D205" s="6" t="s">
        <v>319</v>
      </c>
      <c r="E205" s="6" t="s">
        <v>34</v>
      </c>
      <c r="F205" s="7"/>
      <c r="G205" s="5"/>
      <c r="H205" s="5"/>
    </row>
    <row r="206" customFormat="false" ht="15" hidden="false" customHeight="false" outlineLevel="0" collapsed="false">
      <c r="A206" s="5" t="n">
        <v>205</v>
      </c>
      <c r="B206" s="6" t="s">
        <v>307</v>
      </c>
      <c r="C206" s="6" t="s">
        <v>317</v>
      </c>
      <c r="D206" s="6" t="s">
        <v>320</v>
      </c>
      <c r="E206" s="6" t="s">
        <v>34</v>
      </c>
      <c r="F206" s="7"/>
      <c r="G206" s="5"/>
      <c r="H206" s="5"/>
    </row>
    <row r="207" customFormat="false" ht="15" hidden="false" customHeight="false" outlineLevel="0" collapsed="false">
      <c r="A207" s="2" t="n">
        <v>206</v>
      </c>
      <c r="B207" s="3" t="s">
        <v>307</v>
      </c>
      <c r="C207" s="3" t="s">
        <v>321</v>
      </c>
      <c r="D207" s="3" t="s">
        <v>322</v>
      </c>
      <c r="E207" s="3" t="s">
        <v>10</v>
      </c>
      <c r="F207" s="4" t="s">
        <v>11</v>
      </c>
      <c r="G207" s="3" t="s">
        <v>323</v>
      </c>
      <c r="H207" s="3" t="s">
        <v>324</v>
      </c>
    </row>
    <row r="208" customFormat="false" ht="15" hidden="false" customHeight="false" outlineLevel="0" collapsed="false">
      <c r="A208" s="5" t="n">
        <v>207</v>
      </c>
      <c r="B208" s="6" t="s">
        <v>307</v>
      </c>
      <c r="C208" s="6" t="s">
        <v>321</v>
      </c>
      <c r="D208" s="6" t="s">
        <v>325</v>
      </c>
      <c r="E208" s="6" t="s">
        <v>60</v>
      </c>
      <c r="F208" s="7"/>
      <c r="G208" s="5"/>
      <c r="H208" s="5"/>
    </row>
    <row r="209" customFormat="false" ht="15" hidden="false" customHeight="false" outlineLevel="0" collapsed="false">
      <c r="A209" s="5" t="n">
        <v>208</v>
      </c>
      <c r="B209" s="6" t="s">
        <v>307</v>
      </c>
      <c r="C209" s="6" t="s">
        <v>321</v>
      </c>
      <c r="D209" s="6" t="s">
        <v>326</v>
      </c>
      <c r="E209" s="6" t="s">
        <v>10</v>
      </c>
      <c r="F209" s="7"/>
      <c r="G209" s="5"/>
      <c r="H209" s="5"/>
    </row>
    <row r="210" customFormat="false" ht="15" hidden="false" customHeight="false" outlineLevel="0" collapsed="false">
      <c r="A210" s="5" t="n">
        <v>209</v>
      </c>
      <c r="B210" s="6" t="s">
        <v>307</v>
      </c>
      <c r="C210" s="6" t="s">
        <v>321</v>
      </c>
      <c r="D210" s="6" t="s">
        <v>327</v>
      </c>
      <c r="E210" s="6" t="s">
        <v>34</v>
      </c>
      <c r="F210" s="7"/>
      <c r="G210" s="5"/>
      <c r="H210" s="5"/>
    </row>
    <row r="211" customFormat="false" ht="15" hidden="false" customHeight="false" outlineLevel="0" collapsed="false">
      <c r="A211" s="5" t="n">
        <v>210</v>
      </c>
      <c r="B211" s="6" t="s">
        <v>307</v>
      </c>
      <c r="C211" s="6" t="s">
        <v>328</v>
      </c>
      <c r="D211" s="6" t="s">
        <v>329</v>
      </c>
      <c r="E211" s="6" t="s">
        <v>10</v>
      </c>
      <c r="F211" s="7"/>
      <c r="G211" s="5"/>
      <c r="H211" s="5"/>
    </row>
    <row r="212" customFormat="false" ht="15" hidden="false" customHeight="false" outlineLevel="0" collapsed="false">
      <c r="A212" s="5" t="n">
        <v>211</v>
      </c>
      <c r="B212" s="6" t="s">
        <v>307</v>
      </c>
      <c r="C212" s="6" t="s">
        <v>328</v>
      </c>
      <c r="D212" s="6" t="s">
        <v>330</v>
      </c>
      <c r="E212" s="6" t="s">
        <v>10</v>
      </c>
      <c r="F212" s="7"/>
      <c r="G212" s="5"/>
      <c r="H212" s="5"/>
    </row>
    <row r="213" customFormat="false" ht="15" hidden="false" customHeight="false" outlineLevel="0" collapsed="false">
      <c r="A213" s="5" t="n">
        <v>212</v>
      </c>
      <c r="B213" s="6" t="s">
        <v>307</v>
      </c>
      <c r="C213" s="6" t="s">
        <v>328</v>
      </c>
      <c r="D213" s="6" t="s">
        <v>331</v>
      </c>
      <c r="E213" s="6" t="s">
        <v>34</v>
      </c>
      <c r="F213" s="7"/>
      <c r="G213" s="5"/>
      <c r="H213" s="5"/>
    </row>
    <row r="214" customFormat="false" ht="17.15" hidden="false" customHeight="false" outlineLevel="0" collapsed="false">
      <c r="A214" s="2" t="n">
        <v>213</v>
      </c>
      <c r="B214" s="3" t="s">
        <v>307</v>
      </c>
      <c r="C214" s="3" t="s">
        <v>328</v>
      </c>
      <c r="D214" s="3" t="s">
        <v>332</v>
      </c>
      <c r="E214" s="3" t="s">
        <v>92</v>
      </c>
      <c r="F214" s="4" t="s">
        <v>11</v>
      </c>
      <c r="G214" s="2" t="s">
        <v>333</v>
      </c>
      <c r="H214" s="3" t="s">
        <v>334</v>
      </c>
    </row>
    <row r="215" customFormat="false" ht="17.15" hidden="false" customHeight="false" outlineLevel="0" collapsed="false">
      <c r="A215" s="2" t="n">
        <v>214</v>
      </c>
      <c r="B215" s="3" t="s">
        <v>307</v>
      </c>
      <c r="C215" s="3" t="s">
        <v>335</v>
      </c>
      <c r="D215" s="3" t="s">
        <v>336</v>
      </c>
      <c r="E215" s="3" t="s">
        <v>10</v>
      </c>
      <c r="F215" s="4" t="s">
        <v>11</v>
      </c>
      <c r="G215" s="3" t="s">
        <v>336</v>
      </c>
      <c r="H215" s="3" t="s">
        <v>337</v>
      </c>
    </row>
    <row r="216" customFormat="false" ht="15" hidden="false" customHeight="false" outlineLevel="0" collapsed="false">
      <c r="A216" s="2" t="n">
        <v>215</v>
      </c>
      <c r="B216" s="3" t="s">
        <v>307</v>
      </c>
      <c r="C216" s="3" t="s">
        <v>335</v>
      </c>
      <c r="D216" s="3" t="s">
        <v>338</v>
      </c>
      <c r="E216" s="3" t="s">
        <v>10</v>
      </c>
      <c r="F216" s="4" t="s">
        <v>11</v>
      </c>
      <c r="G216" s="3" t="s">
        <v>338</v>
      </c>
      <c r="H216" s="3" t="s">
        <v>339</v>
      </c>
    </row>
    <row r="217" customFormat="false" ht="15" hidden="false" customHeight="false" outlineLevel="0" collapsed="false">
      <c r="A217" s="5" t="n">
        <v>216</v>
      </c>
      <c r="B217" s="6" t="s">
        <v>307</v>
      </c>
      <c r="C217" s="6" t="s">
        <v>335</v>
      </c>
      <c r="D217" s="6" t="s">
        <v>340</v>
      </c>
      <c r="E217" s="6" t="s">
        <v>92</v>
      </c>
      <c r="F217" s="7"/>
      <c r="G217" s="5"/>
      <c r="H217" s="5"/>
    </row>
    <row r="218" customFormat="false" ht="15" hidden="false" customHeight="false" outlineLevel="0" collapsed="false">
      <c r="A218" s="5" t="n">
        <v>217</v>
      </c>
      <c r="B218" s="6" t="s">
        <v>307</v>
      </c>
      <c r="C218" s="6" t="s">
        <v>341</v>
      </c>
      <c r="D218" s="6" t="s">
        <v>342</v>
      </c>
      <c r="E218" s="6" t="s">
        <v>10</v>
      </c>
      <c r="F218" s="7"/>
      <c r="G218" s="5"/>
      <c r="H218" s="5"/>
    </row>
    <row r="219" customFormat="false" ht="15" hidden="false" customHeight="false" outlineLevel="0" collapsed="false">
      <c r="A219" s="2" t="n">
        <v>218</v>
      </c>
      <c r="B219" s="3" t="s">
        <v>307</v>
      </c>
      <c r="C219" s="3" t="s">
        <v>341</v>
      </c>
      <c r="D219" s="3" t="s">
        <v>343</v>
      </c>
      <c r="E219" s="3" t="s">
        <v>34</v>
      </c>
      <c r="F219" s="4" t="s">
        <v>11</v>
      </c>
      <c r="G219" s="3" t="s">
        <v>344</v>
      </c>
      <c r="H219" s="3" t="s">
        <v>345</v>
      </c>
    </row>
    <row r="220" customFormat="false" ht="15" hidden="false" customHeight="false" outlineLevel="0" collapsed="false">
      <c r="A220" s="5" t="n">
        <v>219</v>
      </c>
      <c r="B220" s="6" t="s">
        <v>307</v>
      </c>
      <c r="C220" s="6" t="s">
        <v>341</v>
      </c>
      <c r="D220" s="6" t="s">
        <v>346</v>
      </c>
      <c r="E220" s="6" t="s">
        <v>34</v>
      </c>
      <c r="F220" s="7"/>
      <c r="G220" s="5"/>
      <c r="H220" s="5"/>
    </row>
    <row r="221" customFormat="false" ht="15" hidden="false" customHeight="false" outlineLevel="0" collapsed="false">
      <c r="A221" s="5" t="n">
        <v>220</v>
      </c>
      <c r="B221" s="6" t="s">
        <v>307</v>
      </c>
      <c r="C221" s="6" t="s">
        <v>341</v>
      </c>
      <c r="D221" s="6" t="s">
        <v>347</v>
      </c>
      <c r="E221" s="6" t="s">
        <v>34</v>
      </c>
      <c r="F221" s="7"/>
      <c r="G221" s="5"/>
      <c r="H221" s="5"/>
    </row>
    <row r="222" customFormat="false" ht="15" hidden="false" customHeight="false" outlineLevel="0" collapsed="false">
      <c r="A222" s="5" t="n">
        <v>221</v>
      </c>
      <c r="B222" s="6" t="s">
        <v>307</v>
      </c>
      <c r="C222" s="6" t="s">
        <v>341</v>
      </c>
      <c r="D222" s="6" t="s">
        <v>348</v>
      </c>
      <c r="E222" s="6" t="s">
        <v>34</v>
      </c>
      <c r="F222" s="7"/>
      <c r="G222" s="5"/>
      <c r="H222" s="5"/>
    </row>
    <row r="223" customFormat="false" ht="15" hidden="false" customHeight="false" outlineLevel="0" collapsed="false">
      <c r="A223" s="2" t="n">
        <v>222</v>
      </c>
      <c r="B223" s="3" t="s">
        <v>307</v>
      </c>
      <c r="C223" s="3" t="s">
        <v>349</v>
      </c>
      <c r="D223" s="3" t="s">
        <v>350</v>
      </c>
      <c r="E223" s="3" t="s">
        <v>10</v>
      </c>
      <c r="F223" s="4" t="s">
        <v>11</v>
      </c>
      <c r="G223" s="3" t="s">
        <v>350</v>
      </c>
      <c r="H223" s="2"/>
    </row>
    <row r="224" customFormat="false" ht="15" hidden="false" customHeight="false" outlineLevel="0" collapsed="false">
      <c r="A224" s="5" t="n">
        <v>223</v>
      </c>
      <c r="B224" s="6" t="s">
        <v>307</v>
      </c>
      <c r="C224" s="6" t="s">
        <v>349</v>
      </c>
      <c r="D224" s="6" t="s">
        <v>351</v>
      </c>
      <c r="E224" s="6" t="s">
        <v>13</v>
      </c>
      <c r="F224" s="7"/>
      <c r="G224" s="5"/>
      <c r="H224" s="5"/>
    </row>
    <row r="225" customFormat="false" ht="15" hidden="false" customHeight="false" outlineLevel="0" collapsed="false">
      <c r="A225" s="5" t="n">
        <v>224</v>
      </c>
      <c r="B225" s="6" t="s">
        <v>307</v>
      </c>
      <c r="C225" s="6" t="s">
        <v>349</v>
      </c>
      <c r="D225" s="6" t="s">
        <v>352</v>
      </c>
      <c r="E225" s="6" t="s">
        <v>34</v>
      </c>
      <c r="F225" s="7"/>
      <c r="G225" s="5"/>
      <c r="H225" s="5"/>
    </row>
    <row r="226" customFormat="false" ht="15" hidden="false" customHeight="false" outlineLevel="0" collapsed="false">
      <c r="A226" s="5" t="n">
        <v>225</v>
      </c>
      <c r="B226" s="6" t="s">
        <v>353</v>
      </c>
      <c r="C226" s="6" t="s">
        <v>354</v>
      </c>
      <c r="D226" s="6" t="s">
        <v>355</v>
      </c>
      <c r="E226" s="6" t="s">
        <v>13</v>
      </c>
      <c r="F226" s="7"/>
      <c r="G226" s="5"/>
      <c r="H226" s="6" t="s">
        <v>356</v>
      </c>
    </row>
    <row r="227" customFormat="false" ht="17.15" hidden="false" customHeight="false" outlineLevel="0" collapsed="false">
      <c r="A227" s="2" t="n">
        <v>226</v>
      </c>
      <c r="B227" s="3" t="s">
        <v>353</v>
      </c>
      <c r="C227" s="3" t="s">
        <v>357</v>
      </c>
      <c r="D227" s="3" t="s">
        <v>358</v>
      </c>
      <c r="E227" s="3" t="s">
        <v>10</v>
      </c>
      <c r="F227" s="4" t="s">
        <v>11</v>
      </c>
      <c r="G227" s="3" t="s">
        <v>359</v>
      </c>
      <c r="H227" s="3" t="s">
        <v>360</v>
      </c>
    </row>
  </sheetData>
  <autoFilter ref="A1:H2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8" t="s">
        <v>1</v>
      </c>
      <c r="B1" s="8" t="s">
        <v>2</v>
      </c>
      <c r="C1" s="8" t="s">
        <v>361</v>
      </c>
      <c r="D1" s="8" t="s">
        <v>362</v>
      </c>
      <c r="E1" s="8" t="s">
        <v>363</v>
      </c>
    </row>
    <row r="2" customFormat="false" ht="15" hidden="false" customHeight="false" outlineLevel="0" collapsed="false">
      <c r="A2" s="6" t="s">
        <v>8</v>
      </c>
      <c r="B2" s="6" t="s">
        <v>8</v>
      </c>
      <c r="C2" s="5" t="n">
        <f aca="false">COUNTIF(全日本品牌牛!$C$2:$C$227,B2)</f>
        <v>36</v>
      </c>
      <c r="D2" s="9" t="n">
        <f aca="false">COUNTIFS(全日本品牌牛!$C$2:$C$227,B2,全日本品牌牛!$F$2:$F$227,"✓")</f>
        <v>7</v>
      </c>
      <c r="E2" s="10" t="n">
        <f aca="false">IF(C2=0,0,D2/C2)</f>
        <v>0.194444444444444</v>
      </c>
    </row>
    <row r="3" customFormat="false" ht="15" hidden="false" customHeight="false" outlineLevel="0" collapsed="false">
      <c r="A3" s="6" t="s">
        <v>66</v>
      </c>
      <c r="B3" s="6" t="s">
        <v>67</v>
      </c>
      <c r="C3" s="5" t="n">
        <f aca="false">COUNTIF(全日本品牌牛!$C$2:$C$227,B3)</f>
        <v>5</v>
      </c>
      <c r="D3" s="9" t="n">
        <f aca="false">COUNTIFS(全日本品牌牛!$C$2:$C$227,B3,全日本品牌牛!$F$2:$F$227,"✓")</f>
        <v>1</v>
      </c>
      <c r="E3" s="10" t="n">
        <f aca="false">IF(C3=0,0,D3/C3)</f>
        <v>0.2</v>
      </c>
    </row>
    <row r="4" customFormat="false" ht="15" hidden="false" customHeight="false" outlineLevel="0" collapsed="false">
      <c r="A4" s="6" t="s">
        <v>66</v>
      </c>
      <c r="B4" s="6" t="s">
        <v>74</v>
      </c>
      <c r="C4" s="5" t="n">
        <f aca="false">COUNTIF(全日本品牌牛!$C$2:$C$227,B4)</f>
        <v>10</v>
      </c>
      <c r="D4" s="9" t="n">
        <f aca="false">COUNTIFS(全日本品牌牛!$C$2:$C$227,B4,全日本品牌牛!$F$2:$F$227,"✓")</f>
        <v>1</v>
      </c>
      <c r="E4" s="10" t="n">
        <f aca="false">IF(C4=0,0,D4/C4)</f>
        <v>0.1</v>
      </c>
    </row>
    <row r="5" customFormat="false" ht="15" hidden="false" customHeight="false" outlineLevel="0" collapsed="false">
      <c r="A5" s="6" t="s">
        <v>66</v>
      </c>
      <c r="B5" s="6" t="s">
        <v>88</v>
      </c>
      <c r="C5" s="5" t="n">
        <f aca="false">COUNTIF(全日本品牌牛!$C$2:$C$227,B5)</f>
        <v>6</v>
      </c>
      <c r="D5" s="9" t="n">
        <f aca="false">COUNTIFS(全日本品牌牛!$C$2:$C$227,B5,全日本品牌牛!$F$2:$F$227,"✓")</f>
        <v>1</v>
      </c>
      <c r="E5" s="10" t="n">
        <f aca="false">IF(C5=0,0,D5/C5)</f>
        <v>0.166666666666667</v>
      </c>
    </row>
    <row r="6" customFormat="false" ht="15" hidden="false" customHeight="false" outlineLevel="0" collapsed="false">
      <c r="A6" s="6" t="s">
        <v>66</v>
      </c>
      <c r="B6" s="6" t="s">
        <v>97</v>
      </c>
      <c r="C6" s="5" t="n">
        <f aca="false">COUNTIF(全日本品牌牛!$C$2:$C$227,B6)</f>
        <v>5</v>
      </c>
      <c r="D6" s="9" t="n">
        <f aca="false">COUNTIFS(全日本品牌牛!$C$2:$C$227,B6,全日本品牌牛!$F$2:$F$227,"✓")</f>
        <v>0</v>
      </c>
      <c r="E6" s="10" t="n">
        <f aca="false">IF(C6=0,0,D6/C6)</f>
        <v>0</v>
      </c>
    </row>
    <row r="7" customFormat="false" ht="15" hidden="false" customHeight="false" outlineLevel="0" collapsed="false">
      <c r="A7" s="6" t="s">
        <v>66</v>
      </c>
      <c r="B7" s="6" t="s">
        <v>103</v>
      </c>
      <c r="C7" s="5" t="n">
        <f aca="false">COUNTIF(全日本品牌牛!$C$2:$C$227,B7)</f>
        <v>4</v>
      </c>
      <c r="D7" s="9" t="n">
        <f aca="false">COUNTIFS(全日本品牌牛!$C$2:$C$227,B7,全日本品牌牛!$F$2:$F$227,"✓")</f>
        <v>3</v>
      </c>
      <c r="E7" s="10" t="n">
        <f aca="false">IF(C7=0,0,D7/C7)</f>
        <v>0.75</v>
      </c>
    </row>
    <row r="8" customFormat="false" ht="15" hidden="false" customHeight="false" outlineLevel="0" collapsed="false">
      <c r="A8" s="6" t="s">
        <v>66</v>
      </c>
      <c r="B8" s="6" t="s">
        <v>111</v>
      </c>
      <c r="C8" s="5" t="n">
        <f aca="false">COUNTIF(全日本品牌牛!$C$2:$C$227,B8)</f>
        <v>3</v>
      </c>
      <c r="D8" s="9" t="n">
        <f aca="false">COUNTIFS(全日本品牌牛!$C$2:$C$227,B8,全日本品牌牛!$F$2:$F$227,"✓")</f>
        <v>0</v>
      </c>
      <c r="E8" s="10" t="n">
        <f aca="false">IF(C8=0,0,D8/C8)</f>
        <v>0</v>
      </c>
    </row>
    <row r="9" customFormat="false" ht="15" hidden="false" customHeight="false" outlineLevel="0" collapsed="false">
      <c r="A9" s="6" t="s">
        <v>115</v>
      </c>
      <c r="B9" s="6" t="s">
        <v>116</v>
      </c>
      <c r="C9" s="5" t="n">
        <f aca="false">COUNTIF(全日本品牌牛!$C$2:$C$227,B9)</f>
        <v>6</v>
      </c>
      <c r="D9" s="9" t="n">
        <f aca="false">COUNTIFS(全日本品牌牛!$C$2:$C$227,B9,全日本品牌牛!$F$2:$F$227,"✓")</f>
        <v>1</v>
      </c>
      <c r="E9" s="10" t="n">
        <f aca="false">IF(C9=0,0,D9/C9)</f>
        <v>0.166666666666667</v>
      </c>
    </row>
    <row r="10" customFormat="false" ht="15" hidden="false" customHeight="false" outlineLevel="0" collapsed="false">
      <c r="A10" s="6" t="s">
        <v>115</v>
      </c>
      <c r="B10" s="6" t="s">
        <v>123</v>
      </c>
      <c r="C10" s="5" t="n">
        <f aca="false">COUNTIF(全日本品牌牛!$C$2:$C$227,B10)</f>
        <v>8</v>
      </c>
      <c r="D10" s="9" t="n">
        <f aca="false">COUNTIFS(全日本品牌牛!$C$2:$C$227,B10,全日本品牌牛!$F$2:$F$227,"✓")</f>
        <v>0</v>
      </c>
      <c r="E10" s="10" t="n">
        <f aca="false">IF(C10=0,0,D10/C10)</f>
        <v>0</v>
      </c>
    </row>
    <row r="11" customFormat="false" ht="15" hidden="false" customHeight="false" outlineLevel="0" collapsed="false">
      <c r="A11" s="6" t="s">
        <v>115</v>
      </c>
      <c r="B11" s="6" t="s">
        <v>132</v>
      </c>
      <c r="C11" s="5" t="n">
        <f aca="false">COUNTIF(全日本品牌牛!$C$2:$C$227,B11)</f>
        <v>4</v>
      </c>
      <c r="D11" s="9" t="n">
        <f aca="false">COUNTIFS(全日本品牌牛!$C$2:$C$227,B11,全日本品牌牛!$F$2:$F$227,"✓")</f>
        <v>1</v>
      </c>
      <c r="E11" s="10" t="n">
        <f aca="false">IF(C11=0,0,D11/C11)</f>
        <v>0.25</v>
      </c>
    </row>
    <row r="12" customFormat="false" ht="15" hidden="false" customHeight="false" outlineLevel="0" collapsed="false">
      <c r="A12" s="6" t="s">
        <v>115</v>
      </c>
      <c r="B12" s="6" t="s">
        <v>139</v>
      </c>
      <c r="C12" s="5" t="n">
        <f aca="false">COUNTIF(全日本品牌牛!$C$2:$C$227,B12)</f>
        <v>3</v>
      </c>
      <c r="D12" s="9" t="n">
        <f aca="false">COUNTIFS(全日本品牌牛!$C$2:$C$227,B12,全日本品牌牛!$F$2:$F$227,"✓")</f>
        <v>0</v>
      </c>
      <c r="E12" s="10" t="n">
        <f aca="false">IF(C12=0,0,D12/C12)</f>
        <v>0</v>
      </c>
    </row>
    <row r="13" customFormat="false" ht="15" hidden="false" customHeight="false" outlineLevel="0" collapsed="false">
      <c r="A13" s="6" t="s">
        <v>115</v>
      </c>
      <c r="B13" s="6" t="s">
        <v>143</v>
      </c>
      <c r="C13" s="5" t="n">
        <f aca="false">COUNTIF(全日本品牌牛!$C$2:$C$227,B13)</f>
        <v>6</v>
      </c>
      <c r="D13" s="9" t="n">
        <f aca="false">COUNTIFS(全日本品牌牛!$C$2:$C$227,B13,全日本品牌牛!$F$2:$F$227,"✓")</f>
        <v>0</v>
      </c>
      <c r="E13" s="10" t="n">
        <f aca="false">IF(C13=0,0,D13/C13)</f>
        <v>0</v>
      </c>
    </row>
    <row r="14" customFormat="false" ht="15" hidden="false" customHeight="false" outlineLevel="0" collapsed="false">
      <c r="A14" s="6" t="s">
        <v>115</v>
      </c>
      <c r="B14" s="6" t="s">
        <v>150</v>
      </c>
      <c r="C14" s="5" t="n">
        <f aca="false">COUNTIF(全日本品牌牛!$C$2:$C$227,B14)</f>
        <v>3</v>
      </c>
      <c r="D14" s="9" t="n">
        <f aca="false">COUNTIFS(全日本品牌牛!$C$2:$C$227,B14,全日本品牌牛!$F$2:$F$227,"✓")</f>
        <v>0</v>
      </c>
      <c r="E14" s="10" t="n">
        <f aca="false">IF(C14=0,0,D14/C14)</f>
        <v>0</v>
      </c>
    </row>
    <row r="15" customFormat="false" ht="15" hidden="false" customHeight="false" outlineLevel="0" collapsed="false">
      <c r="A15" s="6" t="s">
        <v>115</v>
      </c>
      <c r="B15" s="6" t="s">
        <v>154</v>
      </c>
      <c r="C15" s="5" t="n">
        <f aca="false">COUNTIF(全日本品牌牛!$C$2:$C$227,B15)</f>
        <v>10</v>
      </c>
      <c r="D15" s="9" t="n">
        <f aca="false">COUNTIFS(全日本品牌牛!$C$2:$C$227,B15,全日本品牌牛!$F$2:$F$227,"✓")</f>
        <v>0</v>
      </c>
      <c r="E15" s="10" t="n">
        <f aca="false">IF(C15=0,0,D15/C15)</f>
        <v>0</v>
      </c>
    </row>
    <row r="16" customFormat="false" ht="15" hidden="false" customHeight="false" outlineLevel="0" collapsed="false">
      <c r="A16" s="6" t="s">
        <v>165</v>
      </c>
      <c r="B16" s="6" t="s">
        <v>166</v>
      </c>
      <c r="C16" s="5" t="n">
        <f aca="false">COUNTIF(全日本品牌牛!$C$2:$C$227,B16)</f>
        <v>3</v>
      </c>
      <c r="D16" s="9" t="n">
        <f aca="false">COUNTIFS(全日本品牌牛!$C$2:$C$227,B16,全日本品牌牛!$F$2:$F$227,"✓")</f>
        <v>0</v>
      </c>
      <c r="E16" s="10" t="n">
        <f aca="false">IF(C16=0,0,D16/C16)</f>
        <v>0</v>
      </c>
    </row>
    <row r="17" customFormat="false" ht="15" hidden="false" customHeight="false" outlineLevel="0" collapsed="false">
      <c r="A17" s="6" t="s">
        <v>165</v>
      </c>
      <c r="B17" s="6" t="s">
        <v>170</v>
      </c>
      <c r="C17" s="5" t="n">
        <f aca="false">COUNTIF(全日本品牌牛!$C$2:$C$227,B17)</f>
        <v>3</v>
      </c>
      <c r="D17" s="9" t="n">
        <f aca="false">COUNTIFS(全日本品牌牛!$C$2:$C$227,B17,全日本品牌牛!$F$2:$F$227,"✓")</f>
        <v>0</v>
      </c>
      <c r="E17" s="10" t="n">
        <f aca="false">IF(C17=0,0,D17/C17)</f>
        <v>0</v>
      </c>
    </row>
    <row r="18" customFormat="false" ht="15" hidden="false" customHeight="false" outlineLevel="0" collapsed="false">
      <c r="A18" s="6" t="s">
        <v>165</v>
      </c>
      <c r="B18" s="6" t="s">
        <v>174</v>
      </c>
      <c r="C18" s="5" t="n">
        <f aca="false">COUNTIF(全日本品牌牛!$C$2:$C$227,B18)</f>
        <v>1</v>
      </c>
      <c r="D18" s="9" t="n">
        <f aca="false">COUNTIFS(全日本品牌牛!$C$2:$C$227,B18,全日本品牌牛!$F$2:$F$227,"✓")</f>
        <v>0</v>
      </c>
      <c r="E18" s="10" t="n">
        <f aca="false">IF(C18=0,0,D18/C18)</f>
        <v>0</v>
      </c>
    </row>
    <row r="19" customFormat="false" ht="15" hidden="false" customHeight="false" outlineLevel="0" collapsed="false">
      <c r="A19" s="6" t="s">
        <v>165</v>
      </c>
      <c r="B19" s="6" t="s">
        <v>176</v>
      </c>
      <c r="C19" s="5" t="n">
        <f aca="false">COUNTIF(全日本品牌牛!$C$2:$C$227,B19)</f>
        <v>1</v>
      </c>
      <c r="D19" s="9" t="n">
        <f aca="false">COUNTIFS(全日本品牌牛!$C$2:$C$227,B19,全日本品牌牛!$F$2:$F$227,"✓")</f>
        <v>0</v>
      </c>
      <c r="E19" s="10" t="n">
        <f aca="false">IF(C19=0,0,D19/C19)</f>
        <v>0</v>
      </c>
    </row>
    <row r="20" customFormat="false" ht="15" hidden="false" customHeight="false" outlineLevel="0" collapsed="false">
      <c r="A20" s="6" t="s">
        <v>165</v>
      </c>
      <c r="B20" s="6" t="s">
        <v>178</v>
      </c>
      <c r="C20" s="5" t="n">
        <f aca="false">COUNTIF(全日本品牌牛!$C$2:$C$227,B20)</f>
        <v>4</v>
      </c>
      <c r="D20" s="9" t="n">
        <f aca="false">COUNTIFS(全日本品牌牛!$C$2:$C$227,B20,全日本品牌牛!$F$2:$F$227,"✓")</f>
        <v>0</v>
      </c>
      <c r="E20" s="10" t="n">
        <f aca="false">IF(C20=0,0,D20/C20)</f>
        <v>0</v>
      </c>
    </row>
    <row r="21" customFormat="false" ht="15" hidden="false" customHeight="false" outlineLevel="0" collapsed="false">
      <c r="A21" s="6" t="s">
        <v>165</v>
      </c>
      <c r="B21" s="6" t="s">
        <v>184</v>
      </c>
      <c r="C21" s="5" t="n">
        <f aca="false">COUNTIF(全日本品牌牛!$C$2:$C$227,B21)</f>
        <v>6</v>
      </c>
      <c r="D21" s="9" t="n">
        <f aca="false">COUNTIFS(全日本品牌牛!$C$2:$C$227,B21,全日本品牌牛!$F$2:$F$227,"✓")</f>
        <v>1</v>
      </c>
      <c r="E21" s="10" t="n">
        <f aca="false">IF(C21=0,0,D21/C21)</f>
        <v>0.166666666666667</v>
      </c>
    </row>
    <row r="22" customFormat="false" ht="15" hidden="false" customHeight="false" outlineLevel="0" collapsed="false">
      <c r="A22" s="6" t="s">
        <v>165</v>
      </c>
      <c r="B22" s="6" t="s">
        <v>194</v>
      </c>
      <c r="C22" s="5" t="n">
        <f aca="false">COUNTIF(全日本品牌牛!$C$2:$C$227,B22)</f>
        <v>1</v>
      </c>
      <c r="D22" s="9" t="n">
        <f aca="false">COUNTIFS(全日本品牌牛!$C$2:$C$227,B22,全日本品牌牛!$F$2:$F$227,"✓")</f>
        <v>1</v>
      </c>
      <c r="E22" s="10" t="n">
        <f aca="false">IF(C22=0,0,D22/C22)</f>
        <v>1</v>
      </c>
    </row>
    <row r="23" customFormat="false" ht="15" hidden="false" customHeight="false" outlineLevel="0" collapsed="false">
      <c r="A23" s="6" t="s">
        <v>165</v>
      </c>
      <c r="B23" s="6" t="s">
        <v>198</v>
      </c>
      <c r="C23" s="5" t="n">
        <f aca="false">COUNTIF(全日本品牌牛!$C$2:$C$227,B23)</f>
        <v>5</v>
      </c>
      <c r="D23" s="9" t="n">
        <f aca="false">COUNTIFS(全日本品牌牛!$C$2:$C$227,B23,全日本品牌牛!$F$2:$F$227,"✓")</f>
        <v>0</v>
      </c>
      <c r="E23" s="10" t="n">
        <f aca="false">IF(C23=0,0,D23/C23)</f>
        <v>0</v>
      </c>
    </row>
    <row r="24" customFormat="false" ht="15" hidden="false" customHeight="false" outlineLevel="0" collapsed="false">
      <c r="A24" s="6" t="s">
        <v>165</v>
      </c>
      <c r="B24" s="6" t="s">
        <v>205</v>
      </c>
      <c r="C24" s="5" t="n">
        <f aca="false">COUNTIF(全日本品牌牛!$C$2:$C$227,B24)</f>
        <v>5</v>
      </c>
      <c r="D24" s="9" t="n">
        <f aca="false">COUNTIFS(全日本品牌牛!$C$2:$C$227,B24,全日本品牌牛!$F$2:$F$227,"✓")</f>
        <v>1</v>
      </c>
      <c r="E24" s="10" t="n">
        <f aca="false">IF(C24=0,0,D24/C24)</f>
        <v>0.2</v>
      </c>
    </row>
    <row r="25" customFormat="false" ht="15" hidden="false" customHeight="false" outlineLevel="0" collapsed="false">
      <c r="A25" s="6" t="s">
        <v>213</v>
      </c>
      <c r="B25" s="6" t="s">
        <v>214</v>
      </c>
      <c r="C25" s="5" t="n">
        <f aca="false">COUNTIF(全日本品牌牛!$C$2:$C$227,B25)</f>
        <v>4</v>
      </c>
      <c r="D25" s="9" t="n">
        <f aca="false">COUNTIFS(全日本品牌牛!$C$2:$C$227,B25,全日本品牌牛!$F$2:$F$227,"✓")</f>
        <v>0</v>
      </c>
      <c r="E25" s="10" t="n">
        <f aca="false">IF(C25=0,0,D25/C25)</f>
        <v>0</v>
      </c>
    </row>
    <row r="26" customFormat="false" ht="15" hidden="false" customHeight="false" outlineLevel="0" collapsed="false">
      <c r="A26" s="6" t="s">
        <v>213</v>
      </c>
      <c r="B26" s="6" t="s">
        <v>220</v>
      </c>
      <c r="C26" s="5" t="n">
        <f aca="false">COUNTIF(全日本品牌牛!$C$2:$C$227,B26)</f>
        <v>1</v>
      </c>
      <c r="D26" s="9" t="n">
        <f aca="false">COUNTIFS(全日本品牌牛!$C$2:$C$227,B26,全日本品牌牛!$F$2:$F$227,"✓")</f>
        <v>1</v>
      </c>
      <c r="E26" s="10" t="n">
        <f aca="false">IF(C26=0,0,D26/C26)</f>
        <v>1</v>
      </c>
    </row>
    <row r="27" customFormat="false" ht="15" hidden="false" customHeight="false" outlineLevel="0" collapsed="false">
      <c r="A27" s="6" t="s">
        <v>213</v>
      </c>
      <c r="B27" s="6" t="s">
        <v>222</v>
      </c>
      <c r="C27" s="5" t="n">
        <f aca="false">COUNTIF(全日本品牌牛!$C$2:$C$227,B27)</f>
        <v>3</v>
      </c>
      <c r="D27" s="9" t="n">
        <f aca="false">COUNTIFS(全日本品牌牛!$C$2:$C$227,B27,全日本品牌牛!$F$2:$F$227,"✓")</f>
        <v>0</v>
      </c>
      <c r="E27" s="10" t="n">
        <f aca="false">IF(C27=0,0,D27/C27)</f>
        <v>0</v>
      </c>
    </row>
    <row r="28" customFormat="false" ht="15" hidden="false" customHeight="false" outlineLevel="0" collapsed="false">
      <c r="A28" s="6" t="s">
        <v>213</v>
      </c>
      <c r="B28" s="6" t="s">
        <v>226</v>
      </c>
      <c r="C28" s="5" t="n">
        <f aca="false">COUNTIF(全日本品牌牛!$C$2:$C$227,B28)</f>
        <v>2</v>
      </c>
      <c r="D28" s="9" t="n">
        <f aca="false">COUNTIFS(全日本品牌牛!$C$2:$C$227,B28,全日本品牌牛!$F$2:$F$227,"✓")</f>
        <v>0</v>
      </c>
      <c r="E28" s="10" t="n">
        <f aca="false">IF(C28=0,0,D28/C28)</f>
        <v>0</v>
      </c>
    </row>
    <row r="29" customFormat="false" ht="15" hidden="false" customHeight="false" outlineLevel="0" collapsed="false">
      <c r="A29" s="6" t="s">
        <v>213</v>
      </c>
      <c r="B29" s="6" t="s">
        <v>229</v>
      </c>
      <c r="C29" s="5" t="n">
        <f aca="false">COUNTIF(全日本品牌牛!$C$2:$C$227,B29)</f>
        <v>13</v>
      </c>
      <c r="D29" s="9" t="n">
        <f aca="false">COUNTIFS(全日本品牌牛!$C$2:$C$227,B29,全日本品牌牛!$F$2:$F$227,"✓")</f>
        <v>4</v>
      </c>
      <c r="E29" s="10" t="n">
        <f aca="false">IF(C29=0,0,D29/C29)</f>
        <v>0.307692307692308</v>
      </c>
    </row>
    <row r="30" customFormat="false" ht="15" hidden="false" customHeight="false" outlineLevel="0" collapsed="false">
      <c r="A30" s="6" t="s">
        <v>213</v>
      </c>
      <c r="B30" s="6" t="s">
        <v>252</v>
      </c>
      <c r="C30" s="5" t="n">
        <f aca="false">COUNTIF(全日本品牌牛!$C$2:$C$227,B30)</f>
        <v>2</v>
      </c>
      <c r="D30" s="9" t="n">
        <f aca="false">COUNTIFS(全日本品牌牛!$C$2:$C$227,B30,全日本品牌牛!$F$2:$F$227,"✓")</f>
        <v>0</v>
      </c>
      <c r="E30" s="10" t="n">
        <f aca="false">IF(C30=0,0,D30/C30)</f>
        <v>0</v>
      </c>
    </row>
    <row r="31" customFormat="false" ht="15" hidden="false" customHeight="false" outlineLevel="0" collapsed="false">
      <c r="A31" s="6" t="s">
        <v>213</v>
      </c>
      <c r="B31" s="6" t="s">
        <v>255</v>
      </c>
      <c r="C31" s="5" t="n">
        <f aca="false">COUNTIF(全日本品牌牛!$C$2:$C$227,B31)</f>
        <v>2</v>
      </c>
      <c r="D31" s="9" t="n">
        <f aca="false">COUNTIFS(全日本品牌牛!$C$2:$C$227,B31,全日本品牌牛!$F$2:$F$227,"✓")</f>
        <v>0</v>
      </c>
      <c r="E31" s="10" t="n">
        <f aca="false">IF(C31=0,0,D31/C31)</f>
        <v>0</v>
      </c>
    </row>
    <row r="32" customFormat="false" ht="15" hidden="false" customHeight="false" outlineLevel="0" collapsed="false">
      <c r="A32" s="6" t="s">
        <v>258</v>
      </c>
      <c r="B32" s="6" t="s">
        <v>259</v>
      </c>
      <c r="C32" s="5" t="n">
        <f aca="false">COUNTIF(全日本品牌牛!$C$2:$C$227,B32)</f>
        <v>4</v>
      </c>
      <c r="D32" s="9" t="n">
        <f aca="false">COUNTIFS(全日本品牌牛!$C$2:$C$227,B32,全日本品牌牛!$F$2:$F$227,"✓")</f>
        <v>1</v>
      </c>
      <c r="E32" s="10" t="n">
        <f aca="false">IF(C32=0,0,D32/C32)</f>
        <v>0.25</v>
      </c>
    </row>
    <row r="33" customFormat="false" ht="15" hidden="false" customHeight="false" outlineLevel="0" collapsed="false">
      <c r="A33" s="6" t="s">
        <v>258</v>
      </c>
      <c r="B33" s="6" t="s">
        <v>265</v>
      </c>
      <c r="C33" s="5" t="n">
        <f aca="false">COUNTIF(全日本品牌牛!$C$2:$C$227,B33)</f>
        <v>6</v>
      </c>
      <c r="D33" s="9" t="n">
        <f aca="false">COUNTIFS(全日本品牌牛!$C$2:$C$227,B33,全日本品牌牛!$F$2:$F$227,"✓")</f>
        <v>1</v>
      </c>
      <c r="E33" s="10" t="n">
        <f aca="false">IF(C33=0,0,D33/C33)</f>
        <v>0.166666666666667</v>
      </c>
    </row>
    <row r="34" customFormat="false" ht="15" hidden="false" customHeight="false" outlineLevel="0" collapsed="false">
      <c r="A34" s="6" t="s">
        <v>258</v>
      </c>
      <c r="B34" s="6" t="s">
        <v>274</v>
      </c>
      <c r="C34" s="5" t="n">
        <f aca="false">COUNTIF(全日本品牌牛!$C$2:$C$227,B34)</f>
        <v>5</v>
      </c>
      <c r="D34" s="9" t="n">
        <f aca="false">COUNTIFS(全日本品牌牛!$C$2:$C$227,B34,全日本品牌牛!$F$2:$F$227,"✓")</f>
        <v>0</v>
      </c>
      <c r="E34" s="10" t="n">
        <f aca="false">IF(C34=0,0,D34/C34)</f>
        <v>0</v>
      </c>
    </row>
    <row r="35" customFormat="false" ht="15" hidden="false" customHeight="false" outlineLevel="0" collapsed="false">
      <c r="A35" s="6" t="s">
        <v>258</v>
      </c>
      <c r="B35" s="6" t="s">
        <v>280</v>
      </c>
      <c r="C35" s="5" t="n">
        <f aca="false">COUNTIF(全日本品牌牛!$C$2:$C$227,B35)</f>
        <v>4</v>
      </c>
      <c r="D35" s="9" t="n">
        <f aca="false">COUNTIFS(全日本品牌牛!$C$2:$C$227,B35,全日本品牌牛!$F$2:$F$227,"✓")</f>
        <v>0</v>
      </c>
      <c r="E35" s="10" t="n">
        <f aca="false">IF(C35=0,0,D35/C35)</f>
        <v>0</v>
      </c>
    </row>
    <row r="36" customFormat="false" ht="15" hidden="false" customHeight="false" outlineLevel="0" collapsed="false">
      <c r="A36" s="6" t="s">
        <v>258</v>
      </c>
      <c r="B36" s="6" t="s">
        <v>285</v>
      </c>
      <c r="C36" s="5" t="n">
        <f aca="false">COUNTIF(全日本品牌牛!$C$2:$C$227,B36)</f>
        <v>2</v>
      </c>
      <c r="D36" s="9" t="n">
        <f aca="false">COUNTIFS(全日本品牌牛!$C$2:$C$227,B36,全日本品牌牛!$F$2:$F$227,"✓")</f>
        <v>0</v>
      </c>
      <c r="E36" s="10" t="n">
        <f aca="false">IF(C36=0,0,D36/C36)</f>
        <v>0</v>
      </c>
    </row>
    <row r="37" customFormat="false" ht="15" hidden="false" customHeight="false" outlineLevel="0" collapsed="false">
      <c r="A37" s="6" t="s">
        <v>258</v>
      </c>
      <c r="B37" s="6" t="s">
        <v>290</v>
      </c>
      <c r="C37" s="5" t="n">
        <f aca="false">COUNTIF(全日本品牌牛!$C$2:$C$227,B37)</f>
        <v>2</v>
      </c>
      <c r="D37" s="9" t="n">
        <f aca="false">COUNTIFS(全日本品牌牛!$C$2:$C$227,B37,全日本品牌牛!$F$2:$F$227,"✓")</f>
        <v>0</v>
      </c>
      <c r="E37" s="10" t="n">
        <f aca="false">IF(C37=0,0,D37/C37)</f>
        <v>0</v>
      </c>
    </row>
    <row r="38" customFormat="false" ht="15" hidden="false" customHeight="false" outlineLevel="0" collapsed="false">
      <c r="A38" s="6" t="s">
        <v>258</v>
      </c>
      <c r="B38" s="6" t="s">
        <v>293</v>
      </c>
      <c r="C38" s="5" t="n">
        <f aca="false">COUNTIF(全日本品牌牛!$C$2:$C$227,B38)</f>
        <v>2</v>
      </c>
      <c r="D38" s="9" t="n">
        <f aca="false">COUNTIFS(全日本品牌牛!$C$2:$C$227,B38,全日本品牌牛!$F$2:$F$227,"✓")</f>
        <v>1</v>
      </c>
      <c r="E38" s="10" t="n">
        <f aca="false">IF(C38=0,0,D38/C38)</f>
        <v>0.5</v>
      </c>
    </row>
    <row r="39" customFormat="false" ht="15" hidden="false" customHeight="false" outlineLevel="0" collapsed="false">
      <c r="A39" s="6" t="s">
        <v>258</v>
      </c>
      <c r="B39" s="6" t="s">
        <v>298</v>
      </c>
      <c r="C39" s="5" t="n">
        <f aca="false">COUNTIF(全日本品牌牛!$C$2:$C$227,B39)</f>
        <v>3</v>
      </c>
      <c r="D39" s="9" t="n">
        <f aca="false">COUNTIFS(全日本品牌牛!$C$2:$C$227,B39,全日本品牌牛!$F$2:$F$227,"✓")</f>
        <v>0</v>
      </c>
      <c r="E39" s="10" t="n">
        <f aca="false">IF(C39=0,0,D39/C39)</f>
        <v>0</v>
      </c>
    </row>
    <row r="40" customFormat="false" ht="15" hidden="false" customHeight="false" outlineLevel="0" collapsed="false">
      <c r="A40" s="6" t="s">
        <v>258</v>
      </c>
      <c r="B40" s="6" t="s">
        <v>302</v>
      </c>
      <c r="C40" s="5" t="n">
        <f aca="false">COUNTIF(全日本品牌牛!$C$2:$C$227,B40)</f>
        <v>2</v>
      </c>
      <c r="D40" s="9" t="n">
        <f aca="false">COUNTIFS(全日本品牌牛!$C$2:$C$227,B40,全日本品牌牛!$F$2:$F$227,"✓")</f>
        <v>1</v>
      </c>
      <c r="E40" s="10" t="n">
        <f aca="false">IF(C40=0,0,D40/C40)</f>
        <v>0.5</v>
      </c>
    </row>
    <row r="41" customFormat="false" ht="15" hidden="false" customHeight="false" outlineLevel="0" collapsed="false">
      <c r="A41" s="6" t="s">
        <v>307</v>
      </c>
      <c r="B41" s="6" t="s">
        <v>308</v>
      </c>
      <c r="C41" s="5" t="n">
        <f aca="false">COUNTIF(全日本品牌牛!$C$2:$C$227,B41)</f>
        <v>4</v>
      </c>
      <c r="D41" s="9" t="n">
        <f aca="false">COUNTIFS(全日本品牌牛!$C$2:$C$227,B41,全日本品牌牛!$F$2:$F$227,"✓")</f>
        <v>0</v>
      </c>
      <c r="E41" s="10" t="n">
        <f aca="false">IF(C41=0,0,D41/C41)</f>
        <v>0</v>
      </c>
    </row>
    <row r="42" customFormat="false" ht="15" hidden="false" customHeight="false" outlineLevel="0" collapsed="false">
      <c r="A42" s="6" t="s">
        <v>307</v>
      </c>
      <c r="B42" s="6" t="s">
        <v>313</v>
      </c>
      <c r="C42" s="5" t="n">
        <f aca="false">COUNTIF(全日本品牌牛!$C$2:$C$227,B42)</f>
        <v>3</v>
      </c>
      <c r="D42" s="9" t="n">
        <f aca="false">COUNTIFS(全日本品牌牛!$C$2:$C$227,B42,全日本品牌牛!$F$2:$F$227,"✓")</f>
        <v>0</v>
      </c>
      <c r="E42" s="10" t="n">
        <f aca="false">IF(C42=0,0,D42/C42)</f>
        <v>0</v>
      </c>
    </row>
    <row r="43" customFormat="false" ht="15" hidden="false" customHeight="false" outlineLevel="0" collapsed="false">
      <c r="A43" s="6" t="s">
        <v>307</v>
      </c>
      <c r="B43" s="6" t="s">
        <v>317</v>
      </c>
      <c r="C43" s="5" t="n">
        <f aca="false">COUNTIF(全日本品牌牛!$C$2:$C$227,B43)</f>
        <v>3</v>
      </c>
      <c r="D43" s="9" t="n">
        <f aca="false">COUNTIFS(全日本品牌牛!$C$2:$C$227,B43,全日本品牌牛!$F$2:$F$227,"✓")</f>
        <v>0</v>
      </c>
      <c r="E43" s="10" t="n">
        <f aca="false">IF(C43=0,0,D43/C43)</f>
        <v>0</v>
      </c>
    </row>
    <row r="44" customFormat="false" ht="15" hidden="false" customHeight="false" outlineLevel="0" collapsed="false">
      <c r="A44" s="6" t="s">
        <v>307</v>
      </c>
      <c r="B44" s="6" t="s">
        <v>321</v>
      </c>
      <c r="C44" s="5" t="n">
        <f aca="false">COUNTIF(全日本品牌牛!$C$2:$C$227,B44)</f>
        <v>4</v>
      </c>
      <c r="D44" s="9" t="n">
        <f aca="false">COUNTIFS(全日本品牌牛!$C$2:$C$227,B44,全日本品牌牛!$F$2:$F$227,"✓")</f>
        <v>1</v>
      </c>
      <c r="E44" s="10" t="n">
        <f aca="false">IF(C44=0,0,D44/C44)</f>
        <v>0.25</v>
      </c>
    </row>
    <row r="45" customFormat="false" ht="15" hidden="false" customHeight="false" outlineLevel="0" collapsed="false">
      <c r="A45" s="6" t="s">
        <v>307</v>
      </c>
      <c r="B45" s="6" t="s">
        <v>328</v>
      </c>
      <c r="C45" s="5" t="n">
        <f aca="false">COUNTIF(全日本品牌牛!$C$2:$C$227,B45)</f>
        <v>4</v>
      </c>
      <c r="D45" s="9" t="n">
        <f aca="false">COUNTIFS(全日本品牌牛!$C$2:$C$227,B45,全日本品牌牛!$F$2:$F$227,"✓")</f>
        <v>1</v>
      </c>
      <c r="E45" s="10" t="n">
        <f aca="false">IF(C45=0,0,D45/C45)</f>
        <v>0.25</v>
      </c>
    </row>
    <row r="46" customFormat="false" ht="15" hidden="false" customHeight="false" outlineLevel="0" collapsed="false">
      <c r="A46" s="6" t="s">
        <v>307</v>
      </c>
      <c r="B46" s="6" t="s">
        <v>335</v>
      </c>
      <c r="C46" s="5" t="n">
        <f aca="false">COUNTIF(全日本品牌牛!$C$2:$C$227,B46)</f>
        <v>3</v>
      </c>
      <c r="D46" s="9" t="n">
        <f aca="false">COUNTIFS(全日本品牌牛!$C$2:$C$227,B46,全日本品牌牛!$F$2:$F$227,"✓")</f>
        <v>2</v>
      </c>
      <c r="E46" s="10" t="n">
        <f aca="false">IF(C46=0,0,D46/C46)</f>
        <v>0.666666666666667</v>
      </c>
    </row>
    <row r="47" customFormat="false" ht="15" hidden="false" customHeight="false" outlineLevel="0" collapsed="false">
      <c r="A47" s="6" t="s">
        <v>307</v>
      </c>
      <c r="B47" s="6" t="s">
        <v>341</v>
      </c>
      <c r="C47" s="5" t="n">
        <f aca="false">COUNTIF(全日本品牌牛!$C$2:$C$227,B47)</f>
        <v>5</v>
      </c>
      <c r="D47" s="9" t="n">
        <f aca="false">COUNTIFS(全日本品牌牛!$C$2:$C$227,B47,全日本品牌牛!$F$2:$F$227,"✓")</f>
        <v>1</v>
      </c>
      <c r="E47" s="10" t="n">
        <f aca="false">IF(C47=0,0,D47/C47)</f>
        <v>0.2</v>
      </c>
    </row>
    <row r="48" customFormat="false" ht="15" hidden="false" customHeight="false" outlineLevel="0" collapsed="false">
      <c r="A48" s="6" t="s">
        <v>307</v>
      </c>
      <c r="B48" s="6" t="s">
        <v>349</v>
      </c>
      <c r="C48" s="5" t="n">
        <f aca="false">COUNTIF(全日本品牌牛!$C$2:$C$227,B48)</f>
        <v>3</v>
      </c>
      <c r="D48" s="9" t="n">
        <f aca="false">COUNTIFS(全日本品牌牛!$C$2:$C$227,B48,全日本品牌牛!$F$2:$F$227,"✓")</f>
        <v>1</v>
      </c>
      <c r="E48" s="10" t="n">
        <f aca="false">IF(C48=0,0,D48/C48)</f>
        <v>0.333333333333333</v>
      </c>
    </row>
    <row r="49" customFormat="false" ht="15" hidden="false" customHeight="false" outlineLevel="0" collapsed="false">
      <c r="A49" s="6" t="s">
        <v>364</v>
      </c>
      <c r="B49" s="5" t="s">
        <v>365</v>
      </c>
      <c r="C49" s="5" t="n">
        <f aca="false">COUNTIF(全日本品牌牛!$B$2:$B$227,"跨縣")</f>
        <v>2</v>
      </c>
      <c r="D49" s="9" t="n">
        <f aca="false">COUNTIFS(全日本品牌牛!$B$2:$B$227,"跨縣",全日本品牌牛!$F$2:$F$227,"✓")</f>
        <v>1</v>
      </c>
      <c r="E49" s="10" t="n">
        <f aca="false">IF(C49=0,0,D49/C49)</f>
        <v>0.5</v>
      </c>
    </row>
    <row r="50" customFormat="false" ht="15" hidden="false" customHeight="false" outlineLevel="0" collapsed="false">
      <c r="A50" s="11" t="s">
        <v>366</v>
      </c>
      <c r="B50" s="11"/>
      <c r="C50" s="11" t="n">
        <f aca="false">SUM(C2:C49)</f>
        <v>226</v>
      </c>
      <c r="D50" s="12" t="n">
        <f aca="false">SUM(D2:D49)</f>
        <v>34</v>
      </c>
      <c r="E50" s="13" t="n">
        <f aca="false">IF(C50=0,0,D50/C50)</f>
        <v>0.150442477876106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9.4" hidden="false" customHeight="false" outlineLevel="0" collapsed="false">
      <c r="A1" s="14" t="s">
        <v>367</v>
      </c>
      <c r="B1" s="15"/>
    </row>
    <row r="2" customFormat="false" ht="32.8" hidden="false" customHeight="false" outlineLevel="0" collapsed="false">
      <c r="A2" s="16" t="s">
        <v>368</v>
      </c>
      <c r="B2" s="16" t="s">
        <v>369</v>
      </c>
    </row>
    <row r="3" customFormat="false" ht="17.15" hidden="false" customHeight="false" outlineLevel="0" collapsed="false">
      <c r="A3" s="16" t="s">
        <v>6</v>
      </c>
      <c r="B3" s="16" t="s">
        <v>370</v>
      </c>
    </row>
    <row r="4" customFormat="false" ht="17.15" hidden="false" customHeight="false" outlineLevel="0" collapsed="false">
      <c r="A4" s="16" t="s">
        <v>4</v>
      </c>
      <c r="B4" s="16" t="s">
        <v>371</v>
      </c>
    </row>
    <row r="5" customFormat="false" ht="15" hidden="false" customHeight="false" outlineLevel="0" collapsed="false">
      <c r="A5" s="15"/>
      <c r="B5" s="15"/>
    </row>
    <row r="6" customFormat="false" ht="19.4" hidden="false" customHeight="false" outlineLevel="0" collapsed="false">
      <c r="A6" s="14" t="s">
        <v>372</v>
      </c>
      <c r="B6" s="15"/>
    </row>
    <row r="7" customFormat="false" ht="17.15" hidden="false" customHeight="false" outlineLevel="0" collapsed="false">
      <c r="A7" s="15" t="s">
        <v>373</v>
      </c>
      <c r="B7" s="16" t="s">
        <v>374</v>
      </c>
    </row>
    <row r="8" customFormat="false" ht="17.15" hidden="false" customHeight="false" outlineLevel="0" collapsed="false">
      <c r="A8" s="15" t="s">
        <v>375</v>
      </c>
      <c r="B8" s="16" t="s">
        <v>376</v>
      </c>
    </row>
    <row r="9" customFormat="false" ht="17.15" hidden="false" customHeight="false" outlineLevel="0" collapsed="false">
      <c r="A9" s="15" t="s">
        <v>377</v>
      </c>
      <c r="B9" s="16" t="s">
        <v>378</v>
      </c>
    </row>
    <row r="10" customFormat="false" ht="32.8" hidden="false" customHeight="false" outlineLevel="0" collapsed="false">
      <c r="A10" s="15" t="s">
        <v>379</v>
      </c>
      <c r="B10" s="16" t="s">
        <v>380</v>
      </c>
    </row>
    <row r="11" customFormat="false" ht="15" hidden="false" customHeight="false" outlineLevel="0" collapsed="false">
      <c r="A11" s="15"/>
      <c r="B11" s="15"/>
    </row>
    <row r="12" customFormat="false" ht="19.4" hidden="false" customHeight="false" outlineLevel="0" collapsed="false">
      <c r="A12" s="14" t="s">
        <v>381</v>
      </c>
      <c r="B12" s="16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2026-10-21T15:40:41Z</dcterms:created>
  <dc:creator>openpyxl</dc:creator>
  <dc:description/>
  <dc:language>en-US</dc:language>
  <cp:lastModifiedBy/>
  <dcterms:modified xsi:type="dcterms:W3CDTF">2026-10-21T15:40:41Z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